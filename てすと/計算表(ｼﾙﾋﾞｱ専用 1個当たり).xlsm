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1505" yWindow="-15" windowWidth="11550" windowHeight="9210" tabRatio="763"/>
  </bookViews>
  <sheets>
    <sheet name="計算表" sheetId="13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B90" i="13" l="1"/>
  <c r="C3" i="13" l="1"/>
  <c r="G106" i="13" l="1"/>
  <c r="AO19" i="13"/>
  <c r="AP16" i="13"/>
  <c r="AG12" i="13" l="1"/>
  <c r="E111" i="13" s="1"/>
  <c r="AA38" i="13"/>
  <c r="AA37" i="13"/>
  <c r="AA36" i="13"/>
  <c r="AE20" i="13"/>
  <c r="AE35" i="13"/>
  <c r="AB7" i="13"/>
  <c r="AE18" i="13" l="1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G90" i="13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AG13" i="13" s="1"/>
  <c r="L83" i="13"/>
  <c r="J85" i="13"/>
  <c r="J86" i="13" s="1"/>
  <c r="F83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I100" i="13" l="1"/>
  <c r="AP19" i="13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<sst xmlns="http://schemas.openxmlformats.org/spreadsheetml/2006/main" count="181" uniqueCount="117">
  <si>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</si>
  <si>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</si>
  <si>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</si>
  <si>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</si>
  <si>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</si>
  <si>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</si>
  <si>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</si>
  <si>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</si>
  <si>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</si>
  <si>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</si>
  <si>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</si>
  <si>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</si>
  <si>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</si>
  <si>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</si>
  <si>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</si>
  <si>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</si>
  <si>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</si>
  <si>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</si>
  <si>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</si>
  <si>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</si>
  <si>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</si>
  <si>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</si>
  <si>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</si>
  <si>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</si>
  <si>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</si>
  <si>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</si>
  <si>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</si>
  <si>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</si>
  <si>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</si>
  <si>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</si>
  <si>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</si>
  <si>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</si>
  <si>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</si>
  <si>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</si>
  <si>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</si>
  <si>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</si>
  <si>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</si>
  <si>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</si>
  <si>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</si>
  <si>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</si>
  <si>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</si>
  <si>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</si>
  <si>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</si>
  <si>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</si>
  <si>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</si>
  <si>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</si>
  <si>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</si>
  <si>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</si>
  <si>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</si>
  <si>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</si>
  <si>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</si>
  <si>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</si>
  <si>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</si>
  <si>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</si>
  <si>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</si>
  <si>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</si>
  <si>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</si>
  <si>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</si>
  <si>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</si>
  <si>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</si>
  <si>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</si>
  <si>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</si>
  <si>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</si>
  <si>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</si>
  <si>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</si>
  <si>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</si>
  <si>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</si>
  <si>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</si>
  <si>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</si>
  <si>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</si>
  <si>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</si>
  <si>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計算表(5成分)</t>
  </si>
  <si>
    <t>計算者：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</si>
  <si>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</si>
  <si>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</si>
  <si>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</si>
  <si>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</si>
  <si>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</si>
  <si>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</si>
  <si>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</si>
  <si>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</si>
  <si>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</si>
  <si>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</si>
  <si>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</si>
  <si>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</si>
  <si>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</si>
  <si>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</si>
  <si>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</si>
  <si>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</si>
  <si>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</si>
  <si>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</si>
  <si>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</si>
  <si>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</si>
  <si>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ｼﾙﾋﾞｱ</t>
    <phoneticPr fontId="16"/>
  </si>
  <si>
    <t>003450001</t>
  </si>
  <si>
    <t>013701001</t>
  </si>
  <si>
    <t>000354001</t>
  </si>
  <si>
    <t>000726001</t>
  </si>
  <si>
    <t>017288001</t>
  </si>
  <si>
    <t>003621001</t>
  </si>
  <si>
    <t>014981001</t>
  </si>
  <si>
    <t>005988001</t>
  </si>
  <si>
    <t>005700001</t>
  </si>
  <si>
    <t>002674001</t>
  </si>
  <si>
    <t>021243001</t>
  </si>
  <si>
    <t>011468001</t>
  </si>
  <si>
    <t>005552001</t>
    <phoneticPr fontId="16"/>
  </si>
  <si>
    <t>※AG13の値を小数点第一位まで表示</t>
    <phoneticPr fontId="16"/>
  </si>
  <si>
    <t>生地の修正後の水分値が</t>
    <phoneticPr fontId="16"/>
  </si>
  <si>
    <t>%になるように焼減率と焼成後の生地重量を調整</t>
    <phoneticPr fontId="16"/>
  </si>
  <si>
    <t>焼成前の生地重量:</t>
    <rPh sb="2" eb="3">
      <t>マエ</t>
    </rPh>
    <phoneticPr fontId="3"/>
  </si>
  <si>
    <t>g/焼成後の生地重量:</t>
    <phoneticPr fontId="16"/>
  </si>
  <si>
    <t>g</t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</si>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</sst>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5" fillId="0" borderId="0">
      <alignment vertical="center"/>
    </xf>
  </cellStyleXfs>
  <cellXfs count="214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2" fillId="0" borderId="0" xfId="4" applyNumberFormat="1" applyFont="1" applyProtection="1">
      <protection locked="0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0" fontId="35" fillId="0" borderId="14" xfId="0" applyFont="1" applyBorder="1" applyProtection="1">
      <protection locked="0"/>
    </xf>
    <xf numFmtId="185" fontId="35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6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5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7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8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9" fillId="7" borderId="33" xfId="4" applyFont="1" applyFill="1" applyBorder="1"/>
    <xf numFmtId="178" fontId="39" fillId="7" borderId="12" xfId="4" applyNumberFormat="1" applyFont="1" applyFill="1" applyBorder="1" applyAlignment="1">
      <alignment horizontal="center"/>
    </xf>
    <xf numFmtId="2" fontId="39" fillId="7" borderId="35" xfId="4" applyFont="1" applyFill="1" applyBorder="1"/>
    <xf numFmtId="178" fontId="39" fillId="7" borderId="13" xfId="4" applyNumberFormat="1" applyFont="1" applyFill="1" applyBorder="1" applyAlignment="1">
      <alignment horizontal="center"/>
    </xf>
    <xf numFmtId="2" fontId="39" fillId="7" borderId="37" xfId="4" applyFont="1" applyFill="1" applyBorder="1"/>
    <xf numFmtId="178" fontId="39" fillId="7" borderId="38" xfId="4" applyNumberFormat="1" applyFont="1" applyFill="1" applyBorder="1" applyAlignment="1">
      <alignment horizontal="center"/>
    </xf>
    <xf numFmtId="2" fontId="40" fillId="7" borderId="0" xfId="4" applyFont="1" applyFill="1" applyBorder="1"/>
    <xf numFmtId="2" fontId="41" fillId="7" borderId="0" xfId="4" applyFont="1" applyFill="1" applyBorder="1" applyAlignment="1">
      <alignment horizontal="center"/>
    </xf>
    <xf numFmtId="187" fontId="41" fillId="7" borderId="0" xfId="4" applyNumberFormat="1" applyFont="1" applyFill="1" applyBorder="1" applyAlignment="1">
      <alignment horizontal="center"/>
    </xf>
    <xf numFmtId="2" fontId="41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9" fillId="7" borderId="34" xfId="4" applyFont="1" applyFill="1" applyBorder="1" applyAlignment="1">
      <alignment horizontal="center"/>
    </xf>
    <xf numFmtId="2" fontId="39" fillId="7" borderId="36" xfId="4" applyFont="1" applyFill="1" applyBorder="1" applyAlignment="1">
      <alignment horizontal="center"/>
    </xf>
    <xf numFmtId="2" fontId="39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178" fontId="8" fillId="0" borderId="0" xfId="4" applyNumberFormat="1" applyFont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3" fillId="0" borderId="2" xfId="4" applyNumberFormat="1" applyFont="1" applyFill="1" applyBorder="1" applyProtection="1"/>
    <xf numFmtId="176" fontId="3" fillId="0" borderId="11" xfId="4" applyNumberFormat="1" applyFont="1" applyFill="1" applyBorder="1" applyProtection="1"/>
    <xf numFmtId="2" fontId="42" fillId="0" borderId="0" xfId="4" applyNumberFormat="1" applyFont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2" fontId="43" fillId="0" borderId="0" xfId="4" applyNumberFormat="1" applyFont="1" applyProtection="1">
      <protection locked="0"/>
    </xf>
    <xf numFmtId="2" fontId="4" fillId="4" borderId="2" xfId="4" applyNumberFormat="1" applyFont="1" applyFill="1" applyBorder="1" applyProtection="1">
      <protection locked="0"/>
    </xf>
    <xf numFmtId="2" fontId="3" fillId="4" borderId="2" xfId="4" applyNumberFormat="1" applyFont="1" applyFill="1" applyBorder="1" applyProtection="1"/>
    <xf numFmtId="2" fontId="4" fillId="8" borderId="0" xfId="4" applyNumberFormat="1" applyFont="1" applyFill="1" applyProtection="1">
      <protection locked="0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176" fontId="4" fillId="9" borderId="2" xfId="4" applyNumberFormat="1" applyFont="1" applyFill="1" applyBorder="1" applyProtection="1">
      <protection locked="0"/>
    </xf>
    <xf numFmtId="176" fontId="4" fillId="9" borderId="9" xfId="4" applyNumberFormat="1" applyFont="1" applyFill="1" applyBorder="1" applyProtection="1">
      <protection locked="0"/>
    </xf>
    <xf numFmtId="177" fontId="4" fillId="9" borderId="2" xfId="4" applyNumberFormat="1" applyFont="1" applyFill="1" applyBorder="1" applyProtection="1">
      <protection locked="0"/>
    </xf>
    <xf numFmtId="176" fontId="4" fillId="9" borderId="14" xfId="4" applyNumberFormat="1" applyFont="1" applyFill="1" applyBorder="1" applyProtection="1">
      <protection locked="0"/>
    </xf>
    <xf numFmtId="176" fontId="4" fillId="9" borderId="10" xfId="4" applyNumberFormat="1" applyFont="1" applyFill="1" applyBorder="1" applyProtection="1">
      <protection locked="0"/>
    </xf>
    <xf numFmtId="38" fontId="4" fillId="9" borderId="10" xfId="1" applyFont="1" applyFill="1" applyBorder="1" applyProtection="1">
      <protection locked="0"/>
    </xf>
    <xf numFmtId="2" fontId="4" fillId="9" borderId="10" xfId="4" applyNumberFormat="1" applyFont="1" applyFill="1" applyBorder="1" applyProtection="1">
      <protection locked="0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123825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85</xdr:row>
          <xdr:rowOff>133350</xdr:rowOff>
        </xdr:from>
        <xdr:to>
          <xdr:col>18</xdr:col>
          <xdr:colOff>38100</xdr:colOff>
          <xdr:row>87</xdr:row>
          <xdr:rowOff>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85</xdr:row>
          <xdr:rowOff>133350</xdr:rowOff>
        </xdr:from>
        <xdr:to>
          <xdr:col>26</xdr:col>
          <xdr:colOff>133350</xdr:colOff>
          <xdr:row>87</xdr:row>
          <xdr:rowOff>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102</xdr:row>
          <xdr:rowOff>142875</xdr:rowOff>
        </xdr:from>
        <xdr:to>
          <xdr:col>18</xdr:col>
          <xdr:colOff>38100</xdr:colOff>
          <xdr:row>103</xdr:row>
          <xdr:rowOff>190500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102</xdr:row>
          <xdr:rowOff>142875</xdr:rowOff>
        </xdr:from>
        <xdr:to>
          <xdr:col>26</xdr:col>
          <xdr:colOff>133350</xdr:colOff>
          <xdr:row>103</xdr:row>
          <xdr:rowOff>180975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28"/>
  <dimension ref="A1:BH120"/>
  <sheetViews>
    <sheetView showGridLines="0" tabSelected="1" topLeftCell="A6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7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3" customWidth="1"/>
    <col min="40" max="40" width="3" style="33" customWidth="1"/>
    <col min="41" max="41" width="16" style="33" hidden="1" customWidth="1"/>
    <col min="42" max="42" width="19.875" style="33" customWidth="1"/>
    <col min="43" max="43" width="5.125" style="33" customWidth="1"/>
    <col min="44" max="16384" width="10.625" style="3"/>
  </cols>
  <sheetData>
    <row r="1" spans="1:60" x14ac:dyDescent="0.2">
      <c r="A1" s="1" t="s">
        <v>0</v>
      </c>
      <c r="B1" s="2"/>
      <c r="C1" s="2" t="s">
        <v>108</v>
      </c>
      <c r="D1" s="84"/>
      <c r="E1" s="2"/>
      <c r="F1" s="180"/>
      <c r="G1" s="2" t="s">
        <v>109</v>
      </c>
      <c r="H1" s="2"/>
      <c r="I1" s="2"/>
      <c r="J1" s="2"/>
      <c r="K1" s="2"/>
      <c r="L1" s="96"/>
      <c r="AA1" s="2" t="s">
        <v>71</v>
      </c>
    </row>
    <row r="2" spans="1:60" x14ac:dyDescent="0.2">
      <c r="A2" s="121" t="s">
        <v>83</v>
      </c>
      <c r="B2" s="2"/>
      <c r="C2" s="177" t="s">
        <v>110</v>
      </c>
      <c r="D2" s="84"/>
      <c r="E2" s="180"/>
      <c r="F2" s="177" t="s">
        <v>111</v>
      </c>
      <c r="G2" s="2"/>
      <c r="H2" s="180"/>
      <c r="I2" s="177" t="s">
        <v>112</v>
      </c>
      <c r="J2" s="2"/>
      <c r="K2" s="2"/>
      <c r="L2" s="96"/>
      <c r="AA2" s="33"/>
      <c r="AB2" s="33"/>
      <c r="AC2" s="33"/>
      <c r="AD2" s="33"/>
      <c r="AE2" s="33"/>
      <c r="AF2" s="33"/>
      <c r="AG2" s="33"/>
      <c r="AH2" s="33"/>
      <c r="AI2" s="33"/>
      <c r="AJ2" s="33"/>
    </row>
    <row r="3" spans="1:60" x14ac:dyDescent="0.2">
      <c r="A3" s="1" t="s">
        <v>63</v>
      </c>
      <c r="B3" s="2"/>
      <c r="C3" s="173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4"/>
      <c r="E3" s="2"/>
      <c r="F3" s="2"/>
      <c r="G3" s="2"/>
      <c r="H3" s="2"/>
      <c r="I3" s="2"/>
      <c r="J3" s="2"/>
      <c r="K3" s="2"/>
      <c r="L3" s="96"/>
      <c r="AA3" s="33"/>
      <c r="AB3" s="33"/>
      <c r="AC3" s="33"/>
      <c r="AD3" s="33"/>
      <c r="AE3" s="33"/>
      <c r="AF3" s="33"/>
      <c r="AG3" s="33"/>
      <c r="AH3" s="33"/>
      <c r="AI3" s="33"/>
      <c r="AJ3" s="33"/>
    </row>
    <row r="4" spans="1:60" x14ac:dyDescent="0.2">
      <c r="A4" s="124" t="s">
        <v>84</v>
      </c>
      <c r="B4" s="177" t="s">
        <v>107</v>
      </c>
      <c r="D4" s="2"/>
      <c r="E4" s="2"/>
      <c r="F4" s="170" t="s">
        <v>92</v>
      </c>
      <c r="G4" s="187"/>
      <c r="H4" s="188"/>
      <c r="I4" s="2"/>
      <c r="J4" s="2"/>
      <c r="K4" s="2"/>
      <c r="L4" s="96"/>
      <c r="AA4" s="33"/>
      <c r="AB4" s="33"/>
      <c r="AC4" s="33"/>
      <c r="AD4" s="33"/>
      <c r="AE4" s="33"/>
      <c r="AF4" s="33"/>
      <c r="AG4" s="33"/>
      <c r="AH4" s="33"/>
      <c r="AI4" s="33"/>
      <c r="AJ4" s="33"/>
    </row>
    <row r="5" spans="1:60" x14ac:dyDescent="0.2">
      <c r="A5" s="193" t="s">
        <v>1</v>
      </c>
      <c r="B5" s="194"/>
      <c r="C5" s="194"/>
      <c r="D5" s="194"/>
      <c r="E5" s="195"/>
      <c r="F5" s="125" t="s">
        <v>66</v>
      </c>
      <c r="G5" s="125" t="s">
        <v>67</v>
      </c>
      <c r="H5" s="125" t="s">
        <v>68</v>
      </c>
      <c r="I5" s="162" t="s">
        <v>113</v>
      </c>
      <c r="J5" s="2"/>
      <c r="K5" s="2" t="s">
        <v>72</v>
      </c>
      <c r="L5" s="96"/>
      <c r="AA5" s="33"/>
      <c r="AB5" s="33"/>
      <c r="AC5" s="33"/>
      <c r="AD5" s="33"/>
      <c r="AE5" s="33"/>
      <c r="AF5" s="33"/>
      <c r="AG5" s="33"/>
      <c r="AH5" s="33"/>
      <c r="AI5" s="33" t="str">
        <f>$I$5</f>
        <v>2026年月日</v>
      </c>
      <c r="AJ5" s="33"/>
      <c r="AM5" s="74"/>
      <c r="AN5" s="74"/>
      <c r="AO5" s="74"/>
      <c r="AP5" s="74"/>
      <c r="AQ5" s="74"/>
    </row>
    <row r="6" spans="1:60" ht="21" x14ac:dyDescent="0.2">
      <c r="A6" s="196"/>
      <c r="B6" s="197"/>
      <c r="C6" s="197"/>
      <c r="D6" s="197"/>
      <c r="E6" s="198"/>
      <c r="F6" s="126"/>
      <c r="G6" s="127" t="s">
        <v>69</v>
      </c>
      <c r="H6" s="128" t="s">
        <v>93</v>
      </c>
      <c r="I6" s="4"/>
      <c r="J6" s="31"/>
      <c r="K6" s="31" t="s">
        <v>91</v>
      </c>
      <c r="L6" s="97"/>
      <c r="AA6" s="33"/>
      <c r="AB6" s="33"/>
      <c r="AC6" s="33"/>
      <c r="AD6" s="33"/>
      <c r="AE6" s="33"/>
      <c r="AF6" s="34"/>
      <c r="AG6" s="34"/>
      <c r="AH6" s="33"/>
      <c r="AI6" s="33"/>
      <c r="AJ6" s="33"/>
      <c r="AM6" s="74"/>
      <c r="AN6" s="74"/>
      <c r="AO6" s="141"/>
      <c r="AP6" s="141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5" t="s">
        <v>31</v>
      </c>
      <c r="AB7" s="203" t="e">
        <f>IF(COUNTIF($F$6,"1"),CONCATENATE($A$6,"(",$H$6,")"),CONCATENATE($A$6,$F$6,$G$6,"入","(",$H$6,")"))</f>
        <v>#VALUE!</v>
      </c>
      <c r="AC7" s="203"/>
      <c r="AD7" s="203"/>
      <c r="AE7" s="203"/>
      <c r="AF7" s="203"/>
      <c r="AG7" s="203"/>
      <c r="AH7" s="203"/>
      <c r="AI7" s="203"/>
      <c r="AJ7" s="33"/>
      <c r="AM7" s="142"/>
      <c r="AN7" s="74"/>
      <c r="AO7" s="74"/>
      <c r="AP7" s="74"/>
      <c r="AQ7" s="74"/>
    </row>
    <row r="8" spans="1:60" x14ac:dyDescent="0.2">
      <c r="A8" s="117"/>
      <c r="B8" s="118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3">
        <f t="shared" ref="M8:M37" si="0">SUM(C8:H8)</f>
        <v>0</v>
      </c>
      <c r="AJ8" s="33"/>
      <c r="BH8" s="3" t="s">
        <v>94</v>
      </c>
    </row>
    <row r="9" spans="1:60" x14ac:dyDescent="0.2">
      <c r="A9" s="117"/>
      <c r="B9" s="118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3">
        <f t="shared" si="0"/>
        <v>0</v>
      </c>
      <c r="AA9" s="33"/>
      <c r="AB9" s="33"/>
      <c r="AC9" s="33"/>
      <c r="AD9" s="33"/>
      <c r="AE9" s="33"/>
      <c r="AF9" s="33"/>
      <c r="AG9" s="33"/>
      <c r="AH9" s="33"/>
      <c r="AI9" s="33"/>
      <c r="AJ9" s="33"/>
      <c r="BH9" s="3" t="s">
        <v>95</v>
      </c>
    </row>
    <row r="10" spans="1:60" x14ac:dyDescent="0.2">
      <c r="A10" s="117"/>
      <c r="B10" s="118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3">
        <f t="shared" si="0"/>
        <v>0</v>
      </c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M10" s="143" t="s">
        <v>73</v>
      </c>
      <c r="AN10" s="143"/>
      <c r="AO10" s="143"/>
      <c r="AP10" s="143"/>
      <c r="AQ10" s="143"/>
      <c r="BH10" s="3" t="s">
        <v>96</v>
      </c>
    </row>
    <row r="11" spans="1:60" x14ac:dyDescent="0.2">
      <c r="A11" s="117"/>
      <c r="B11" s="118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3">
        <f t="shared" si="0"/>
        <v>0</v>
      </c>
      <c r="AB11" s="33"/>
      <c r="AC11" s="33"/>
      <c r="AD11" s="33"/>
      <c r="AE11" s="33"/>
      <c r="AF11" s="33"/>
      <c r="AG11" s="33"/>
      <c r="AH11" s="33"/>
      <c r="AI11" s="33"/>
      <c r="AJ11" s="33"/>
      <c r="AM11" s="33" t="s">
        <v>74</v>
      </c>
      <c r="AQ11" s="144" t="b">
        <v>0</v>
      </c>
      <c r="BH11" s="3" t="s">
        <v>97</v>
      </c>
    </row>
    <row r="12" spans="1:60" ht="27.75" customHeight="1" x14ac:dyDescent="0.25">
      <c r="A12" s="117"/>
      <c r="B12" s="118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3">
        <f t="shared" si="0"/>
        <v>0</v>
      </c>
      <c r="AA12" s="35" t="s">
        <v>39</v>
      </c>
      <c r="AB12" s="33"/>
      <c r="AC12" s="33"/>
      <c r="AD12" s="36"/>
      <c r="AE12" s="199" t="s">
        <v>59</v>
      </c>
      <c r="AF12" s="90"/>
      <c r="AG12" s="202" t="str">
        <f>"1"&amp;$G$6&amp;"当たり"</f>
        <v>1個当たり</v>
      </c>
      <c r="AH12" s="202"/>
      <c r="AI12" s="202"/>
      <c r="AJ12" s="32"/>
      <c r="AK12" s="192" t="s">
        <v>45</v>
      </c>
      <c r="AM12" s="36" t="s">
        <v>75</v>
      </c>
      <c r="AQ12" s="144" t="b">
        <v>0</v>
      </c>
      <c r="BH12" s="3" t="s">
        <v>106</v>
      </c>
    </row>
    <row r="13" spans="1:60" ht="25.5" thickBot="1" x14ac:dyDescent="0.3">
      <c r="A13" s="117"/>
      <c r="B13" s="118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3">
        <f t="shared" si="0"/>
        <v>0</v>
      </c>
      <c r="AA13" s="33"/>
      <c r="AB13" s="33"/>
      <c r="AC13" s="33"/>
      <c r="AD13" s="37"/>
      <c r="AE13" s="200"/>
      <c r="AF13" s="36"/>
      <c r="AG13" s="169">
        <f>ROUND(+$B$102,1)</f>
        <v>100</v>
      </c>
      <c r="AH13" s="39" t="s">
        <v>33</v>
      </c>
      <c r="AI13" s="38"/>
      <c r="AJ13" s="40"/>
      <c r="AK13" s="192"/>
      <c r="AN13" s="145"/>
      <c r="AO13" s="74"/>
      <c r="AP13" s="3"/>
      <c r="AQ13" s="74"/>
      <c r="BH13" s="3" t="s">
        <v>98</v>
      </c>
    </row>
    <row r="14" spans="1:60" s="22" customFormat="1" ht="22.5" x14ac:dyDescent="0.25">
      <c r="A14" s="117"/>
      <c r="B14" s="118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3">
        <f t="shared" si="0"/>
        <v>0</v>
      </c>
      <c r="N14" s="3"/>
      <c r="Z14" s="135"/>
      <c r="AA14" s="69" t="s">
        <v>36</v>
      </c>
      <c r="AB14" s="41"/>
      <c r="AC14" s="42"/>
      <c r="AD14" s="42"/>
      <c r="AE14" s="43" t="e">
        <f>$C$108</f>
        <v>#DIV/0!</v>
      </c>
      <c r="AF14" s="44"/>
      <c r="AG14" s="43" t="e">
        <f>ROUND((AG15+AG17)*4+(AG16*9),0)</f>
        <v>#DIV/0!</v>
      </c>
      <c r="AH14" s="42" t="s">
        <v>50</v>
      </c>
      <c r="AI14" s="46"/>
      <c r="AJ14" s="41"/>
      <c r="AK14" s="103">
        <v>0</v>
      </c>
      <c r="AM14" s="146" t="s">
        <v>76</v>
      </c>
      <c r="AN14" s="189"/>
      <c r="AO14" s="189"/>
      <c r="AP14" s="189"/>
      <c r="AQ14" s="190"/>
      <c r="BH14" s="22" t="s">
        <v>99</v>
      </c>
    </row>
    <row r="15" spans="1:60" ht="22.5" x14ac:dyDescent="0.25">
      <c r="A15" s="117"/>
      <c r="B15" s="118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3">
        <f t="shared" si="0"/>
        <v>0</v>
      </c>
      <c r="AA15" s="70" t="s">
        <v>40</v>
      </c>
      <c r="AB15" s="45"/>
      <c r="AC15" s="42"/>
      <c r="AD15" s="42"/>
      <c r="AE15" s="46" t="e">
        <f>$D$104</f>
        <v>#DIV/0!</v>
      </c>
      <c r="AF15" s="44"/>
      <c r="AG15" s="46" t="e">
        <f>ROUND(($AG$13*AE15)/100,1)</f>
        <v>#DIV/0!</v>
      </c>
      <c r="AH15" s="42" t="s">
        <v>60</v>
      </c>
      <c r="AI15" s="46"/>
      <c r="AJ15" s="45"/>
      <c r="AK15" s="103">
        <v>1</v>
      </c>
      <c r="AM15" s="204" t="s">
        <v>77</v>
      </c>
      <c r="AN15" s="205"/>
      <c r="AO15" s="205"/>
      <c r="AP15" s="205"/>
      <c r="AQ15" s="206"/>
      <c r="BH15" s="3" t="s">
        <v>100</v>
      </c>
    </row>
    <row r="16" spans="1:60" ht="22.5" x14ac:dyDescent="0.25">
      <c r="A16" s="117"/>
      <c r="B16" s="118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22">
        <f t="shared" si="0"/>
        <v>0</v>
      </c>
      <c r="N16" s="22"/>
      <c r="AA16" s="70" t="s">
        <v>29</v>
      </c>
      <c r="AB16" s="42"/>
      <c r="AC16" s="42"/>
      <c r="AD16" s="42"/>
      <c r="AE16" s="46" t="e">
        <f>$E$104</f>
        <v>#DIV/0!</v>
      </c>
      <c r="AF16" s="44"/>
      <c r="AG16" s="46" t="e">
        <f>ROUND(($AG$13*AE16)/100,1)</f>
        <v>#DIV/0!</v>
      </c>
      <c r="AH16" s="42" t="s">
        <v>60</v>
      </c>
      <c r="AI16" s="46"/>
      <c r="AJ16" s="45"/>
      <c r="AK16" s="103">
        <v>1</v>
      </c>
      <c r="AM16" s="147"/>
      <c r="AN16" s="148"/>
      <c r="AO16" s="159" t="s">
        <v>86</v>
      </c>
      <c r="AP16" s="166" t="str">
        <f>"1"&amp;$G$6&amp;"当たり"</f>
        <v>1個当たり</v>
      </c>
      <c r="AQ16" s="163"/>
      <c r="BH16" s="3" t="s">
        <v>101</v>
      </c>
    </row>
    <row r="17" spans="1:60" ht="22.5" x14ac:dyDescent="0.25">
      <c r="A17" s="117"/>
      <c r="B17" s="118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3">
        <f t="shared" si="0"/>
        <v>0</v>
      </c>
      <c r="AA17" s="70" t="s">
        <v>26</v>
      </c>
      <c r="AB17" s="45"/>
      <c r="AC17" s="42"/>
      <c r="AD17" s="42"/>
      <c r="AE17" s="46" t="e">
        <f>$F$106</f>
        <v>#DIV/0!</v>
      </c>
      <c r="AF17" s="44"/>
      <c r="AG17" s="46" t="e">
        <f>ROUND(($AG$13*AE17)/100,1)</f>
        <v>#DIV/0!</v>
      </c>
      <c r="AH17" s="42" t="s">
        <v>60</v>
      </c>
      <c r="AI17" s="46"/>
      <c r="AJ17" s="45"/>
      <c r="AK17" s="103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  <c r="BH17" s="3" t="s">
        <v>102</v>
      </c>
    </row>
    <row r="18" spans="1:60" ht="22.5" x14ac:dyDescent="0.25">
      <c r="A18" s="117"/>
      <c r="B18" s="118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3">
        <f t="shared" ref="M18:M27" si="1">SUM(C18:H18)</f>
        <v>0</v>
      </c>
      <c r="AA18" s="70" t="s">
        <v>30</v>
      </c>
      <c r="AB18" s="45"/>
      <c r="AC18" s="42"/>
      <c r="AD18" s="42"/>
      <c r="AE18" s="139" t="e">
        <f>IF($AE$20&lt;4.5,0,ROUND($AE$20/1000*2.54,2))</f>
        <v>#DIV/0!</v>
      </c>
      <c r="AF18" s="44"/>
      <c r="AG18" s="139" t="e">
        <f>IF($AE$20&lt;4.5,0,ROUND($AG$20/1000*2.54,2))</f>
        <v>#DIV/0!</v>
      </c>
      <c r="AH18" s="42" t="s">
        <v>60</v>
      </c>
      <c r="AI18" s="47"/>
      <c r="AJ18" s="45"/>
      <c r="AK18" s="103" t="e">
        <f>IF($AE$20&lt;4.5,0,2)</f>
        <v>#DIV/0!</v>
      </c>
      <c r="AM18" s="149" t="s">
        <v>78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  <c r="BH18" s="3" t="s">
        <v>103</v>
      </c>
    </row>
    <row r="19" spans="1:60" ht="23.25" thickBot="1" x14ac:dyDescent="0.3">
      <c r="A19" s="117"/>
      <c r="B19" s="118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3">
        <f t="shared" si="1"/>
        <v>0</v>
      </c>
      <c r="AA19" s="70"/>
      <c r="AB19" s="45"/>
      <c r="AC19" s="42"/>
      <c r="AD19" s="42"/>
      <c r="AE19" s="47"/>
      <c r="AF19" s="44"/>
      <c r="AG19" s="47"/>
      <c r="AH19" s="42"/>
      <c r="AI19" s="47"/>
      <c r="AJ19" s="45"/>
      <c r="AK19" s="104"/>
      <c r="AM19" s="151" t="s">
        <v>79</v>
      </c>
      <c r="AN19" s="152"/>
      <c r="AO19" s="161" t="e">
        <f>$G$104</f>
        <v>#DIV/0!</v>
      </c>
      <c r="AP19" s="168" t="e">
        <f>ROUND(($AG$13*$G$104)/100,1)</f>
        <v>#DIV/0!</v>
      </c>
      <c r="AQ19" s="165" t="s">
        <v>60</v>
      </c>
      <c r="BH19" s="3" t="s">
        <v>104</v>
      </c>
    </row>
    <row r="20" spans="1:60" ht="22.5" x14ac:dyDescent="0.25">
      <c r="A20" s="117"/>
      <c r="B20" s="118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3">
        <f t="shared" si="1"/>
        <v>0</v>
      </c>
      <c r="AA20" s="70" t="s">
        <v>38</v>
      </c>
      <c r="AB20" s="45"/>
      <c r="AC20" s="42"/>
      <c r="AD20" s="42"/>
      <c r="AE20" s="43" t="e">
        <f>$I$104</f>
        <v>#DIV/0!</v>
      </c>
      <c r="AF20" s="44"/>
      <c r="AG20" s="102" t="e">
        <f>ROUND(($AG$13*$AE$20)/100,0)</f>
        <v>#DIV/0!</v>
      </c>
      <c r="AH20" s="42" t="s">
        <v>61</v>
      </c>
      <c r="AI20" s="43"/>
      <c r="AJ20" s="45"/>
      <c r="AM20" s="153"/>
      <c r="AN20" s="155"/>
      <c r="AO20" s="156"/>
      <c r="AP20" s="155"/>
      <c r="AQ20" s="154"/>
      <c r="BH20" s="3" t="s">
        <v>105</v>
      </c>
    </row>
    <row r="21" spans="1:60" ht="22.5" x14ac:dyDescent="0.25">
      <c r="A21" s="117"/>
      <c r="B21" s="118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3">
        <f t="shared" si="1"/>
        <v>0</v>
      </c>
      <c r="AA21" s="70" t="s">
        <v>27</v>
      </c>
      <c r="AB21" s="48"/>
      <c r="AC21" s="49"/>
      <c r="AD21" s="49"/>
      <c r="AE21" s="50" t="e">
        <f>$C$104</f>
        <v>#DIV/0!</v>
      </c>
      <c r="AF21" s="51"/>
      <c r="AG21" s="50" t="e">
        <f>ROUND(($AG$13*$AE$21)/100,1)</f>
        <v>#DIV/0!</v>
      </c>
      <c r="AH21" s="49" t="s">
        <v>60</v>
      </c>
      <c r="AI21" s="50"/>
      <c r="AJ21" s="47"/>
      <c r="AM21" s="157" t="s">
        <v>80</v>
      </c>
      <c r="AN21" s="158"/>
      <c r="AO21" s="158"/>
      <c r="AP21" s="158"/>
      <c r="AQ21" s="158"/>
    </row>
    <row r="22" spans="1:60" ht="21.75" customHeight="1" x14ac:dyDescent="0.2">
      <c r="A22" s="117"/>
      <c r="B22" s="118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3">
        <f t="shared" si="1"/>
        <v>0</v>
      </c>
      <c r="AA22" s="70" t="s">
        <v>28</v>
      </c>
      <c r="AB22" s="48"/>
      <c r="AC22" s="49"/>
      <c r="AD22" s="49"/>
      <c r="AE22" s="50" t="e">
        <f>$H$104</f>
        <v>#DIV/0!</v>
      </c>
      <c r="AF22" s="51"/>
      <c r="AG22" s="50" t="e">
        <f>ROUND(($AG$13*$AE$22)/100,1)</f>
        <v>#DIV/0!</v>
      </c>
      <c r="AH22" s="49" t="s">
        <v>60</v>
      </c>
      <c r="AI22" s="50"/>
      <c r="AJ22" s="48"/>
      <c r="AM22" s="157" t="s">
        <v>81</v>
      </c>
      <c r="AN22" s="157"/>
      <c r="AO22" s="157"/>
      <c r="AP22" s="157"/>
      <c r="AQ22" s="157"/>
    </row>
    <row r="23" spans="1:60" ht="22.5" x14ac:dyDescent="0.25">
      <c r="A23" s="117"/>
      <c r="B23" s="118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3">
        <f t="shared" si="1"/>
        <v>0</v>
      </c>
      <c r="Z23" s="135" t="e">
        <f>IF(AG23&lt;15,"","＊1")</f>
        <v>#DIV/0!</v>
      </c>
      <c r="AA23" s="70" t="s">
        <v>34</v>
      </c>
      <c r="AB23" s="42"/>
      <c r="AC23" s="42"/>
      <c r="AD23" s="42"/>
      <c r="AE23" s="139" t="e">
        <f>$K$104</f>
        <v>#DIV/0!</v>
      </c>
      <c r="AF23" s="71"/>
      <c r="AG23" s="139" t="e">
        <f>ROUND(($AG$13*$AE$23)/100,2)</f>
        <v>#DIV/0!</v>
      </c>
      <c r="AH23" s="42" t="s">
        <v>60</v>
      </c>
      <c r="AI23" s="47"/>
      <c r="AJ23" s="45"/>
      <c r="AK23" s="103">
        <v>2</v>
      </c>
      <c r="AM23" s="158" t="s">
        <v>82</v>
      </c>
      <c r="AN23" s="157"/>
      <c r="AO23" s="157"/>
      <c r="AP23" s="157"/>
      <c r="AQ23" s="157"/>
    </row>
    <row r="24" spans="1:60" ht="22.5" x14ac:dyDescent="0.25">
      <c r="A24" s="117"/>
      <c r="B24" s="118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3">
        <f t="shared" si="1"/>
        <v>0</v>
      </c>
      <c r="Z24" s="135" t="e">
        <f>IF(OR(AND(AE24&gt;=0.3,AG24*VALUE(F6)&gt;=0.45),AE24&gt;=0.45,AND(AG13&gt;=100,AG24*VALUE(F6)&gt;=0.45)),"＊2","")</f>
        <v>#DIV/0!</v>
      </c>
      <c r="AA24" s="70" t="s">
        <v>41</v>
      </c>
      <c r="AB24" s="42"/>
      <c r="AC24" s="42"/>
      <c r="AD24" s="42"/>
      <c r="AE24" s="139" t="e">
        <f>$J$104</f>
        <v>#DIV/0!</v>
      </c>
      <c r="AF24" s="68"/>
      <c r="AG24" s="139" t="e">
        <f>ROUND(($AG$13*$AE$24)/100,2)</f>
        <v>#DIV/0!</v>
      </c>
      <c r="AH24" s="42" t="s">
        <v>60</v>
      </c>
      <c r="AI24" s="47"/>
      <c r="AJ24" s="45"/>
      <c r="AK24" s="103" t="e">
        <f>IF($AE$24=0,0,2)</f>
        <v>#DIV/0!</v>
      </c>
      <c r="AM24" s="158" t="s">
        <v>90</v>
      </c>
      <c r="AN24" s="157"/>
      <c r="AO24" s="157"/>
      <c r="AP24" s="157"/>
      <c r="AQ24" s="157"/>
    </row>
    <row r="25" spans="1:60" ht="22.7" customHeight="1" x14ac:dyDescent="0.25">
      <c r="A25" s="117"/>
      <c r="B25" s="118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3">
        <f t="shared" si="1"/>
        <v>0</v>
      </c>
      <c r="AA25" s="70" t="s">
        <v>37</v>
      </c>
      <c r="AB25" s="42"/>
      <c r="AC25" s="42"/>
      <c r="AD25" s="42"/>
      <c r="AE25" s="85" t="e">
        <f>$L$104</f>
        <v>#DIV/0!</v>
      </c>
      <c r="AF25" s="68"/>
      <c r="AG25" s="92" t="e">
        <f>ROUND(($AG$13*$AE$25)/100,0)</f>
        <v>#DIV/0!</v>
      </c>
      <c r="AH25" s="42" t="s">
        <v>61</v>
      </c>
      <c r="AI25" s="47"/>
      <c r="AJ25" s="45"/>
      <c r="AK25" s="103">
        <v>0</v>
      </c>
      <c r="AM25" s="158" t="s">
        <v>87</v>
      </c>
      <c r="AN25" s="157"/>
      <c r="AO25" s="157"/>
      <c r="AP25" s="157"/>
      <c r="AQ25" s="157"/>
    </row>
    <row r="26" spans="1:60" ht="22.7" customHeight="1" x14ac:dyDescent="0.2">
      <c r="A26" s="117"/>
      <c r="B26" s="118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3">
        <f t="shared" si="1"/>
        <v>0</v>
      </c>
      <c r="AM26" s="157" t="s">
        <v>89</v>
      </c>
      <c r="AN26" s="157"/>
      <c r="AO26" s="157"/>
      <c r="AP26" s="157"/>
      <c r="AQ26" s="157"/>
    </row>
    <row r="27" spans="1:60" ht="22.7" customHeight="1" x14ac:dyDescent="0.2">
      <c r="A27" s="117"/>
      <c r="B27" s="118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3">
        <f t="shared" si="1"/>
        <v>0</v>
      </c>
      <c r="AM27" s="157" t="s">
        <v>88</v>
      </c>
      <c r="AN27" s="157"/>
      <c r="AO27" s="157"/>
      <c r="AP27" s="157"/>
      <c r="AQ27" s="157"/>
    </row>
    <row r="28" spans="1:60" x14ac:dyDescent="0.2">
      <c r="A28" s="117"/>
      <c r="B28" s="118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3">
        <f t="shared" si="0"/>
        <v>0</v>
      </c>
      <c r="AM28" s="157"/>
      <c r="AN28" s="157"/>
      <c r="AO28" s="157"/>
      <c r="AP28" s="157"/>
      <c r="AQ28" s="157"/>
    </row>
    <row r="29" spans="1:60" x14ac:dyDescent="0.2">
      <c r="A29" s="117"/>
      <c r="B29" s="118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3">
        <f t="shared" si="0"/>
        <v>0</v>
      </c>
    </row>
    <row r="30" spans="1:60" x14ac:dyDescent="0.2">
      <c r="A30" s="117"/>
      <c r="B30" s="118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3">
        <f t="shared" si="0"/>
        <v>0</v>
      </c>
      <c r="AA30" s="59"/>
      <c r="AB30" s="59"/>
      <c r="AC30" s="59"/>
      <c r="AD30" s="59"/>
      <c r="AE30" s="59"/>
      <c r="AF30" s="59"/>
      <c r="AG30" s="59"/>
      <c r="AH30" s="59"/>
      <c r="AI30" s="59"/>
      <c r="AJ30" s="59"/>
    </row>
    <row r="31" spans="1:60" ht="21" x14ac:dyDescent="0.2">
      <c r="A31" s="117"/>
      <c r="B31" s="118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3">
        <f>SUM(C31:H31)</f>
        <v>0</v>
      </c>
      <c r="AA31" s="201" t="s">
        <v>53</v>
      </c>
      <c r="AB31" s="201"/>
      <c r="AC31" s="201"/>
      <c r="AD31" s="201"/>
      <c r="AE31" s="201"/>
      <c r="AF31" s="201"/>
      <c r="AG31" s="201"/>
      <c r="AH31" s="201"/>
      <c r="AI31" s="201"/>
      <c r="AJ31" s="201"/>
    </row>
    <row r="32" spans="1:60" x14ac:dyDescent="0.2">
      <c r="A32" s="117"/>
      <c r="B32" s="118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3">
        <f>SUM(C32:H32)</f>
        <v>0</v>
      </c>
      <c r="AA32" s="82"/>
      <c r="AB32" s="33"/>
      <c r="AC32" s="33"/>
      <c r="AD32" s="33"/>
      <c r="AE32" s="33"/>
      <c r="AF32" s="33"/>
      <c r="AG32" s="33"/>
      <c r="AH32" s="33"/>
      <c r="AI32" s="33"/>
      <c r="AJ32" s="33"/>
    </row>
    <row r="33" spans="1:36" x14ac:dyDescent="0.2">
      <c r="A33" s="117"/>
      <c r="B33" s="118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3">
        <f>SUM(C33:H33)</f>
        <v>0</v>
      </c>
      <c r="AA33" s="82"/>
      <c r="AB33" s="33"/>
      <c r="AC33" s="33"/>
      <c r="AD33" s="33"/>
      <c r="AE33" s="33"/>
      <c r="AF33" s="33"/>
      <c r="AG33" s="33"/>
      <c r="AH33" s="33"/>
      <c r="AI33" s="33"/>
      <c r="AJ33" s="33"/>
    </row>
    <row r="34" spans="1:36" x14ac:dyDescent="0.2">
      <c r="A34" s="117"/>
      <c r="B34" s="118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3">
        <f>SUM(C34:H34)</f>
        <v>0</v>
      </c>
      <c r="O34" s="73"/>
      <c r="P34" s="80"/>
      <c r="Q34" s="74"/>
      <c r="AB34" s="33"/>
      <c r="AH34" s="33"/>
      <c r="AI34" s="33"/>
      <c r="AJ34" s="33"/>
    </row>
    <row r="35" spans="1:36" ht="21" x14ac:dyDescent="0.2">
      <c r="A35" s="117"/>
      <c r="B35" s="118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3">
        <f>SUM(C35:H35)</f>
        <v>0</v>
      </c>
      <c r="O35" s="73"/>
      <c r="P35" s="75"/>
      <c r="Q35" s="74"/>
      <c r="AA35" s="33"/>
      <c r="AB35" s="101"/>
      <c r="AC35" s="191" t="s">
        <v>44</v>
      </c>
      <c r="AD35" s="191"/>
      <c r="AE35" s="81">
        <f>IF($B$101=0,$B$84,$B$101)</f>
        <v>0</v>
      </c>
      <c r="AF35" s="34" t="s">
        <v>25</v>
      </c>
      <c r="AG35" s="33"/>
      <c r="AH35" s="33"/>
      <c r="AI35" s="33"/>
      <c r="AJ35" s="33"/>
    </row>
    <row r="36" spans="1:36" ht="21" x14ac:dyDescent="0.2">
      <c r="A36" s="117"/>
      <c r="B36" s="118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3"/>
      <c r="AF36" s="33"/>
      <c r="AG36" s="34"/>
      <c r="AH36" s="33"/>
      <c r="AI36" s="77"/>
      <c r="AJ36" s="77"/>
    </row>
    <row r="37" spans="1:36" x14ac:dyDescent="0.2">
      <c r="A37" s="117"/>
      <c r="B37" s="118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3">
        <f t="shared" si="0"/>
        <v>0</v>
      </c>
      <c r="N37" s="73"/>
      <c r="O37" s="73"/>
      <c r="P37" s="75"/>
      <c r="Q37" s="74"/>
      <c r="AA37" s="122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3"/>
      <c r="AF37" s="33"/>
      <c r="AG37" s="33"/>
      <c r="AH37" s="33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4"/>
      <c r="K38" s="4"/>
      <c r="L38" s="62"/>
      <c r="M38" s="59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3"/>
      <c r="O39" s="73"/>
      <c r="P39" s="75"/>
      <c r="Q39" s="74"/>
      <c r="AA39" s="72"/>
      <c r="AI39" s="78"/>
      <c r="AJ39" s="78"/>
    </row>
    <row r="40" spans="1:36" x14ac:dyDescent="0.2">
      <c r="A40" s="6" t="s">
        <v>14</v>
      </c>
      <c r="B40" s="98">
        <v>100</v>
      </c>
      <c r="C40" s="8"/>
      <c r="D40" s="8"/>
      <c r="E40" s="8"/>
      <c r="F40" s="8"/>
      <c r="G40" s="8"/>
      <c r="H40" s="8"/>
      <c r="I40" s="7"/>
      <c r="J40" s="54"/>
      <c r="K40" s="83"/>
      <c r="L40" s="99"/>
      <c r="M40" s="3">
        <f t="shared" ref="M40:M49" si="2">SUM(C40:H40)</f>
        <v>0</v>
      </c>
      <c r="N40" s="73"/>
      <c r="O40" s="73"/>
      <c r="P40" s="75"/>
      <c r="Q40" s="74"/>
      <c r="AA40" s="72"/>
      <c r="AI40" s="78"/>
      <c r="AJ40" s="78"/>
    </row>
    <row r="41" spans="1:36" x14ac:dyDescent="0.2">
      <c r="A41" s="117"/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3">
        <f t="shared" si="2"/>
        <v>0</v>
      </c>
      <c r="N41" s="73"/>
      <c r="O41" s="73"/>
      <c r="P41" s="76"/>
      <c r="Q41" s="74"/>
      <c r="AA41" s="59"/>
      <c r="AB41" s="59"/>
      <c r="AC41" s="59"/>
      <c r="AD41" s="59"/>
      <c r="AE41" s="59"/>
      <c r="AI41" s="79"/>
      <c r="AJ41" s="79"/>
    </row>
    <row r="42" spans="1:36" x14ac:dyDescent="0.2">
      <c r="A42" s="117"/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3">
        <f t="shared" si="2"/>
        <v>0</v>
      </c>
      <c r="N42" s="73"/>
      <c r="AA42" s="59"/>
      <c r="AB42" s="59"/>
      <c r="AC42" s="59"/>
      <c r="AD42" s="59"/>
      <c r="AE42" s="59"/>
    </row>
    <row r="43" spans="1:36" x14ac:dyDescent="0.2">
      <c r="A43" s="117"/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3">
        <f t="shared" si="2"/>
        <v>0</v>
      </c>
      <c r="N43" s="73"/>
      <c r="AA43" s="73"/>
      <c r="AB43" s="73"/>
      <c r="AC43" s="80"/>
      <c r="AD43" s="74"/>
      <c r="AE43" s="59"/>
    </row>
    <row r="44" spans="1:36" x14ac:dyDescent="0.2">
      <c r="A44" s="117"/>
      <c r="B44" s="118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3">
        <f t="shared" si="2"/>
        <v>0</v>
      </c>
      <c r="N44" s="73"/>
      <c r="AA44" s="73"/>
      <c r="AB44" s="73"/>
      <c r="AC44" s="75"/>
      <c r="AD44" s="74"/>
      <c r="AE44" s="59"/>
    </row>
    <row r="45" spans="1:36" x14ac:dyDescent="0.2">
      <c r="A45" s="117"/>
      <c r="B45" s="118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3">
        <f t="shared" si="2"/>
        <v>0</v>
      </c>
      <c r="AA45" s="73"/>
      <c r="AB45" s="73"/>
      <c r="AC45" s="75"/>
      <c r="AD45" s="74"/>
      <c r="AE45" s="59"/>
    </row>
    <row r="46" spans="1:36" x14ac:dyDescent="0.2">
      <c r="A46" s="117"/>
      <c r="B46" s="118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3">
        <f t="shared" si="2"/>
        <v>0</v>
      </c>
      <c r="AA46" s="73"/>
      <c r="AB46" s="73"/>
      <c r="AC46" s="75"/>
      <c r="AD46" s="74"/>
      <c r="AE46" s="59"/>
    </row>
    <row r="47" spans="1:36" x14ac:dyDescent="0.2">
      <c r="A47" s="117"/>
      <c r="B47" s="118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3">
        <f t="shared" si="2"/>
        <v>0</v>
      </c>
      <c r="AA47" s="73"/>
      <c r="AB47" s="73"/>
      <c r="AC47" s="76"/>
      <c r="AD47" s="74"/>
      <c r="AE47" s="59"/>
    </row>
    <row r="48" spans="1:36" x14ac:dyDescent="0.2">
      <c r="A48" s="117"/>
      <c r="B48" s="118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3">
        <f t="shared" si="2"/>
        <v>0</v>
      </c>
      <c r="AA48" s="73"/>
      <c r="AB48" s="73"/>
      <c r="AC48" s="76"/>
      <c r="AD48" s="74"/>
      <c r="AE48" s="59"/>
    </row>
    <row r="49" spans="1:33" x14ac:dyDescent="0.2">
      <c r="A49" s="117"/>
      <c r="B49" s="118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3">
        <f t="shared" si="2"/>
        <v>0</v>
      </c>
      <c r="AA49" s="73"/>
      <c r="AB49" s="73"/>
      <c r="AC49" s="76"/>
      <c r="AD49" s="74"/>
      <c r="AE49" s="5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1"/>
      <c r="J50" s="175"/>
      <c r="K50" s="31"/>
      <c r="L50" s="63"/>
      <c r="AA50" s="73"/>
      <c r="AB50" s="73"/>
      <c r="AC50" s="80"/>
      <c r="AD50" s="74"/>
      <c r="AE50" s="59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4"/>
      <c r="AA51" s="59"/>
      <c r="AB51" s="59"/>
      <c r="AC51" s="59"/>
      <c r="AD51" s="59"/>
      <c r="AE51" s="59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6"/>
    </row>
    <row r="53" spans="1:33" x14ac:dyDescent="0.2">
      <c r="A53" s="117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5">
        <f>L8*B53/100</f>
        <v>0</v>
      </c>
      <c r="AA53" s="87"/>
    </row>
    <row r="54" spans="1:33" x14ac:dyDescent="0.2">
      <c r="A54" s="117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5">
        <f t="shared" ref="L54:L82" si="13">L9*B54/100</f>
        <v>0</v>
      </c>
      <c r="AA54" s="87"/>
    </row>
    <row r="55" spans="1:33" x14ac:dyDescent="0.2">
      <c r="A55" s="117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5">
        <f t="shared" si="13"/>
        <v>0</v>
      </c>
    </row>
    <row r="56" spans="1:33" x14ac:dyDescent="0.2">
      <c r="A56" s="117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5">
        <f t="shared" si="13"/>
        <v>0</v>
      </c>
    </row>
    <row r="57" spans="1:33" x14ac:dyDescent="0.2">
      <c r="A57" s="117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5">
        <f t="shared" si="13"/>
        <v>0</v>
      </c>
    </row>
    <row r="58" spans="1:33" x14ac:dyDescent="0.2">
      <c r="A58" s="117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5">
        <f t="shared" si="13"/>
        <v>0</v>
      </c>
    </row>
    <row r="59" spans="1:33" x14ac:dyDescent="0.2">
      <c r="A59" s="117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5">
        <f t="shared" si="13"/>
        <v>0</v>
      </c>
    </row>
    <row r="60" spans="1:33" x14ac:dyDescent="0.2">
      <c r="A60" s="117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5">
        <f t="shared" si="13"/>
        <v>0</v>
      </c>
      <c r="AA60" s="86" t="s">
        <v>42</v>
      </c>
    </row>
    <row r="61" spans="1:33" x14ac:dyDescent="0.2">
      <c r="A61" s="117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5">
        <f t="shared" si="13"/>
        <v>0</v>
      </c>
      <c r="AA61" s="123" t="s">
        <v>53</v>
      </c>
    </row>
    <row r="62" spans="1:33" ht="18.75" x14ac:dyDescent="0.3">
      <c r="A62" s="117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5">
        <f t="shared" si="13"/>
        <v>0</v>
      </c>
      <c r="AA62" s="87" t="s">
        <v>54</v>
      </c>
      <c r="AC62" s="88"/>
      <c r="AE62" s="88"/>
      <c r="AF62" s="89"/>
      <c r="AG62" s="88"/>
    </row>
    <row r="63" spans="1:33" x14ac:dyDescent="0.2">
      <c r="A63" s="117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5">
        <f t="shared" si="13"/>
        <v>0</v>
      </c>
    </row>
    <row r="64" spans="1:33" x14ac:dyDescent="0.2">
      <c r="A64" s="117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5">
        <f t="shared" si="13"/>
        <v>0</v>
      </c>
    </row>
    <row r="65" spans="1:27" x14ac:dyDescent="0.2">
      <c r="A65" s="117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5">
        <f t="shared" si="13"/>
        <v>0</v>
      </c>
    </row>
    <row r="66" spans="1:27" x14ac:dyDescent="0.2">
      <c r="A66" s="117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5">
        <f t="shared" si="13"/>
        <v>0</v>
      </c>
    </row>
    <row r="67" spans="1:27" x14ac:dyDescent="0.2">
      <c r="A67" s="117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5">
        <f t="shared" si="13"/>
        <v>0</v>
      </c>
    </row>
    <row r="68" spans="1:27" x14ac:dyDescent="0.2">
      <c r="A68" s="117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5">
        <f t="shared" si="13"/>
        <v>0</v>
      </c>
    </row>
    <row r="69" spans="1:27" ht="18.75" x14ac:dyDescent="0.3">
      <c r="A69" s="117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5">
        <f t="shared" si="13"/>
        <v>0</v>
      </c>
      <c r="AA69" s="88" t="s">
        <v>43</v>
      </c>
    </row>
    <row r="70" spans="1:27" x14ac:dyDescent="0.2">
      <c r="A70" s="117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5">
        <f t="shared" si="13"/>
        <v>0</v>
      </c>
      <c r="AA70" s="91" t="s">
        <v>62</v>
      </c>
    </row>
    <row r="71" spans="1:27" x14ac:dyDescent="0.2">
      <c r="A71" s="117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5">
        <f t="shared" si="13"/>
        <v>0</v>
      </c>
      <c r="AA71" s="91" t="s">
        <v>55</v>
      </c>
    </row>
    <row r="72" spans="1:27" x14ac:dyDescent="0.2">
      <c r="A72" s="117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5">
        <f t="shared" si="13"/>
        <v>0</v>
      </c>
      <c r="AA72" s="91" t="s">
        <v>56</v>
      </c>
    </row>
    <row r="73" spans="1:27" x14ac:dyDescent="0.2">
      <c r="A73" s="117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5">
        <f t="shared" si="13"/>
        <v>0</v>
      </c>
      <c r="AA73" s="91" t="s">
        <v>57</v>
      </c>
    </row>
    <row r="74" spans="1:27" x14ac:dyDescent="0.2">
      <c r="A74" s="117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5">
        <f t="shared" si="13"/>
        <v>0</v>
      </c>
      <c r="AA74" s="91" t="s">
        <v>58</v>
      </c>
    </row>
    <row r="75" spans="1:27" x14ac:dyDescent="0.2">
      <c r="A75" s="117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5">
        <f t="shared" si="13"/>
        <v>0</v>
      </c>
      <c r="AA75" s="82" t="s">
        <v>85</v>
      </c>
    </row>
    <row r="76" spans="1:27" x14ac:dyDescent="0.2">
      <c r="A76" s="117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5">
        <f t="shared" si="13"/>
        <v>0</v>
      </c>
    </row>
    <row r="77" spans="1:27" x14ac:dyDescent="0.2">
      <c r="A77" s="117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5">
        <f t="shared" si="13"/>
        <v>0</v>
      </c>
    </row>
    <row r="78" spans="1:27" x14ac:dyDescent="0.2">
      <c r="A78" s="117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5">
        <f t="shared" si="13"/>
        <v>0</v>
      </c>
    </row>
    <row r="79" spans="1:27" x14ac:dyDescent="0.2">
      <c r="A79" s="117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5">
        <f t="shared" si="13"/>
        <v>0</v>
      </c>
    </row>
    <row r="80" spans="1:27" x14ac:dyDescent="0.2">
      <c r="A80" s="117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5">
        <f t="shared" si="13"/>
        <v>0</v>
      </c>
    </row>
    <row r="81" spans="1:12" x14ac:dyDescent="0.2">
      <c r="A81" s="117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5">
        <f t="shared" si="13"/>
        <v>0</v>
      </c>
    </row>
    <row r="82" spans="1:12" x14ac:dyDescent="0.2">
      <c r="A82" s="117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5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178"/>
      <c r="C84" s="12"/>
      <c r="D84" s="12"/>
      <c r="E84" s="12"/>
      <c r="F84" s="12"/>
      <c r="G84" s="12"/>
      <c r="H84" s="12"/>
      <c r="I84" s="13"/>
      <c r="J84" s="52"/>
      <c r="K84" s="52"/>
      <c r="L84" s="66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3">
        <f t="shared" si="43"/>
        <v>0</v>
      </c>
      <c r="K85" s="53">
        <f t="shared" si="43"/>
        <v>0</v>
      </c>
      <c r="L85" s="65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5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207" t="e">
        <v>#DIV/0!</v>
      </c>
      <c r="D87" s="207" t="e">
        <v>#DIV/0!</v>
      </c>
      <c r="E87" s="207" t="e">
        <v>#DIV/0!</v>
      </c>
      <c r="F87" s="171" t="e">
        <f>F86+100-B86</f>
        <v>#DIV/0!</v>
      </c>
      <c r="G87" s="207" t="e">
        <v>#DIV/0!</v>
      </c>
      <c r="H87" s="207" t="e">
        <v>#DIV/0!</v>
      </c>
      <c r="I87" s="207" t="e">
        <v>#DIV/0!</v>
      </c>
      <c r="J87" s="209" t="e">
        <v>#DIV/0!</v>
      </c>
      <c r="K87" s="209" t="e">
        <v>#DIV/0!</v>
      </c>
      <c r="L87" s="210" t="e">
        <v>#DIV/0!</v>
      </c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6"/>
      <c r="K88" s="4"/>
      <c r="L88" s="100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79">
        <f>B40*(100-B84)/100</f>
        <v>100</v>
      </c>
      <c r="C90" s="10" t="e">
        <f>C87/100*B90</f>
        <v>#DIV/0!</v>
      </c>
      <c r="D90" s="10" t="e">
        <f>D87/100*B90</f>
        <v>#DIV/0!</v>
      </c>
      <c r="E90" s="10" t="e">
        <f>E87/100*B90</f>
        <v>#DIV/0!</v>
      </c>
      <c r="F90" s="10" t="e">
        <f>F87/100*B90</f>
        <v>#DIV/0!</v>
      </c>
      <c r="G90" s="10" t="e">
        <f>G87/100*B90</f>
        <v>#DIV/0!</v>
      </c>
      <c r="H90" s="10" t="e">
        <f>H87/100*B90</f>
        <v>#DIV/0!</v>
      </c>
      <c r="I90" s="11" t="e">
        <f>I87/100*B90</f>
        <v>#DIV/0!</v>
      </c>
      <c r="J90" s="52" t="e">
        <f>J87/100*B90</f>
        <v>#DIV/0!</v>
      </c>
      <c r="K90" s="52" t="e">
        <f>K87/100*B90</f>
        <v>#DIV/0!</v>
      </c>
      <c r="L90" s="66" t="e">
        <f>L87/100*B90</f>
        <v>#DIV/0!</v>
      </c>
    </row>
    <row r="91" spans="1:12" x14ac:dyDescent="0.2">
      <c r="A91" s="117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2">
        <f t="shared" ref="J91:J99" si="51">J41/100*B91</f>
        <v>0</v>
      </c>
      <c r="K91" s="52">
        <f t="shared" ref="K91:K99" si="52">K41/100*B91</f>
        <v>0</v>
      </c>
      <c r="L91" s="52">
        <f t="shared" ref="L91:L99" si="53">L41/100*B91</f>
        <v>0</v>
      </c>
    </row>
    <row r="92" spans="1:12" x14ac:dyDescent="0.2">
      <c r="A92" s="117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2">
        <f t="shared" si="51"/>
        <v>0</v>
      </c>
      <c r="K92" s="52">
        <f t="shared" si="52"/>
        <v>0</v>
      </c>
      <c r="L92" s="52">
        <f t="shared" si="53"/>
        <v>0</v>
      </c>
    </row>
    <row r="93" spans="1:12" x14ac:dyDescent="0.2">
      <c r="A93" s="117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2">
        <f t="shared" si="51"/>
        <v>0</v>
      </c>
      <c r="K93" s="52">
        <f t="shared" si="52"/>
        <v>0</v>
      </c>
      <c r="L93" s="52">
        <f t="shared" si="53"/>
        <v>0</v>
      </c>
    </row>
    <row r="94" spans="1:12" x14ac:dyDescent="0.2">
      <c r="A94" s="117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2">
        <f t="shared" si="51"/>
        <v>0</v>
      </c>
      <c r="K94" s="52">
        <f t="shared" si="52"/>
        <v>0</v>
      </c>
      <c r="L94" s="52">
        <f t="shared" si="53"/>
        <v>0</v>
      </c>
    </row>
    <row r="95" spans="1:12" x14ac:dyDescent="0.2">
      <c r="A95" s="117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2">
        <f t="shared" si="51"/>
        <v>0</v>
      </c>
      <c r="K95" s="52">
        <f t="shared" si="52"/>
        <v>0</v>
      </c>
      <c r="L95" s="52">
        <f t="shared" si="53"/>
        <v>0</v>
      </c>
    </row>
    <row r="96" spans="1:12" x14ac:dyDescent="0.2">
      <c r="A96" s="117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2">
        <f t="shared" si="51"/>
        <v>0</v>
      </c>
      <c r="K96" s="52">
        <f t="shared" si="52"/>
        <v>0</v>
      </c>
      <c r="L96" s="52">
        <f t="shared" si="53"/>
        <v>0</v>
      </c>
    </row>
    <row r="97" spans="1:12" x14ac:dyDescent="0.2">
      <c r="A97" s="117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2">
        <f t="shared" si="51"/>
        <v>0</v>
      </c>
      <c r="K97" s="52">
        <f t="shared" si="52"/>
        <v>0</v>
      </c>
      <c r="L97" s="52">
        <f t="shared" si="53"/>
        <v>0</v>
      </c>
    </row>
    <row r="98" spans="1:12" x14ac:dyDescent="0.2">
      <c r="A98" s="117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2">
        <f t="shared" si="51"/>
        <v>0</v>
      </c>
      <c r="K98" s="52">
        <f t="shared" si="52"/>
        <v>0</v>
      </c>
      <c r="L98" s="52">
        <f t="shared" si="53"/>
        <v>0</v>
      </c>
    </row>
    <row r="99" spans="1:12" x14ac:dyDescent="0.2">
      <c r="A99" s="117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2">
        <f t="shared" si="51"/>
        <v>0</v>
      </c>
      <c r="K99" s="52">
        <f t="shared" si="52"/>
        <v>0</v>
      </c>
      <c r="L99" s="52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 t="e">
        <f t="shared" si="62"/>
        <v>#DIV/0!</v>
      </c>
      <c r="D100" s="10" t="e">
        <f t="shared" si="62"/>
        <v>#DIV/0!</v>
      </c>
      <c r="E100" s="10" t="e">
        <f t="shared" si="62"/>
        <v>#DIV/0!</v>
      </c>
      <c r="F100" s="10" t="e">
        <f t="shared" si="62"/>
        <v>#DIV/0!</v>
      </c>
      <c r="G100" s="10" t="e">
        <f t="shared" si="62"/>
        <v>#DIV/0!</v>
      </c>
      <c r="H100" s="10" t="e">
        <f t="shared" si="62"/>
        <v>#DIV/0!</v>
      </c>
      <c r="I100" s="11" t="e">
        <f t="shared" si="62"/>
        <v>#DIV/0!</v>
      </c>
      <c r="J100" s="11" t="e">
        <f t="shared" si="62"/>
        <v>#DIV/0!</v>
      </c>
      <c r="K100" s="11" t="e">
        <f t="shared" si="62"/>
        <v>#DIV/0!</v>
      </c>
      <c r="L100" s="11" t="e">
        <f t="shared" si="62"/>
        <v>#DIV/0!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6"/>
    </row>
    <row r="102" spans="1:12" x14ac:dyDescent="0.2">
      <c r="A102" s="5" t="s">
        <v>19</v>
      </c>
      <c r="B102" s="12">
        <f>B100-B100*B101/100</f>
        <v>100</v>
      </c>
      <c r="C102" s="10" t="e">
        <f>C100-B100*B101/100</f>
        <v>#DIV/0!</v>
      </c>
      <c r="D102" s="10" t="e">
        <f t="shared" ref="D102:L102" si="63">SUM(D90:D99)</f>
        <v>#DIV/0!</v>
      </c>
      <c r="E102" s="10" t="e">
        <f t="shared" si="63"/>
        <v>#DIV/0!</v>
      </c>
      <c r="F102" s="10" t="e">
        <f t="shared" si="63"/>
        <v>#DIV/0!</v>
      </c>
      <c r="G102" s="10" t="e">
        <f t="shared" si="63"/>
        <v>#DIV/0!</v>
      </c>
      <c r="H102" s="10" t="e">
        <f t="shared" si="63"/>
        <v>#DIV/0!</v>
      </c>
      <c r="I102" s="11" t="e">
        <f t="shared" si="63"/>
        <v>#DIV/0!</v>
      </c>
      <c r="J102" s="55" t="e">
        <f t="shared" si="63"/>
        <v>#DIV/0!</v>
      </c>
      <c r="K102" s="55" t="e">
        <f t="shared" si="63"/>
        <v>#DIV/0!</v>
      </c>
      <c r="L102" s="66" t="e">
        <f t="shared" si="63"/>
        <v>#DIV/0!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 t="e">
        <f>ROUND(+C102/B102*100,1)</f>
        <v>#DIV/0!</v>
      </c>
      <c r="D103" s="17" t="e">
        <f>ROUND(+D102/B102*100,1)</f>
        <v>#DIV/0!</v>
      </c>
      <c r="E103" s="17" t="e">
        <f>ROUND(+E102/B102*100,1)</f>
        <v>#DIV/0!</v>
      </c>
      <c r="F103" s="17" t="e">
        <f>ROUND(+F102/B102*100,1)</f>
        <v>#DIV/0!</v>
      </c>
      <c r="G103" s="17" t="e">
        <f>ROUND(+G102/B102*100,1)</f>
        <v>#DIV/0!</v>
      </c>
      <c r="H103" s="17" t="e">
        <f>ROUND(+H102/B102*100,1)</f>
        <v>#DIV/0!</v>
      </c>
      <c r="I103" s="94" t="e">
        <f>ROUND(+I102/B102*100,0)</f>
        <v>#DIV/0!</v>
      </c>
      <c r="J103" s="95" t="e">
        <f>ROUND(+J102/B102*100,2)</f>
        <v>#DIV/0!</v>
      </c>
      <c r="K103" s="95" t="e">
        <f>ROUND(+K102/B102*100,2)</f>
        <v>#DIV/0!</v>
      </c>
      <c r="L103" s="93" t="e">
        <f>ROUND(+L102/B102*100,0)</f>
        <v>#DIV/0!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208" t="e">
        <v>#DIV/0!</v>
      </c>
      <c r="D104" s="208" t="e">
        <v>#DIV/0!</v>
      </c>
      <c r="E104" s="208" t="e">
        <v>#DIV/0!</v>
      </c>
      <c r="F104" s="172" t="e">
        <f>F103+100-B103</f>
        <v>#DIV/0!</v>
      </c>
      <c r="G104" s="211" t="e">
        <v>#DIV/0!</v>
      </c>
      <c r="H104" s="211" t="e">
        <v>#DIV/0!</v>
      </c>
      <c r="I104" s="212" t="e">
        <v>#DIV/0!</v>
      </c>
      <c r="J104" s="213" t="e">
        <v>#DIV/0!</v>
      </c>
      <c r="K104" s="213" t="e">
        <v>#DIV/0!</v>
      </c>
      <c r="L104" s="212" t="e">
        <v>#DIV/0!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1"/>
    </row>
    <row r="106" spans="1:12" ht="25.5" thickTop="1" thickBot="1" x14ac:dyDescent="0.3">
      <c r="A106" s="137" t="s">
        <v>70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IF(COUNTIF($A$6,"*ﾍﾞｲｼｱ*"),"食塩相当量は小数点1桁にしてAK列も「1」に変更する！！栄養成分の単位「1個(標準○○ｇ)当たり」に変更する！！","")</f>
        <v/>
      </c>
      <c r="H106" s="181" t="s">
        <v>114</v>
      </c>
      <c r="I106" s="182">
        <v>115</v>
      </c>
      <c r="J106" s="25"/>
      <c r="K106" s="25"/>
      <c r="L106" s="61"/>
    </row>
    <row r="107" spans="1:12" ht="18.75" thickBot="1" x14ac:dyDescent="0.25">
      <c r="A107" s="2"/>
      <c r="B107" s="2"/>
      <c r="C107" s="2"/>
      <c r="D107" s="2"/>
      <c r="E107" s="56"/>
      <c r="F107" s="57"/>
      <c r="G107" s="2"/>
      <c r="H107" s="183" t="s">
        <v>115</v>
      </c>
      <c r="I107" s="184">
        <v>103</v>
      </c>
      <c r="J107" s="2"/>
      <c r="K107" s="2"/>
      <c r="L107" s="60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8"/>
      <c r="F108" s="56"/>
      <c r="G108" s="2"/>
      <c r="H108" s="185" t="s">
        <v>116</v>
      </c>
      <c r="I108" s="186">
        <v>10.5</v>
      </c>
      <c r="J108" s="2"/>
      <c r="K108" s="2"/>
      <c r="L108" s="60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0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0"/>
    </row>
    <row r="111" spans="1:12" x14ac:dyDescent="0.2">
      <c r="A111" s="2"/>
      <c r="B111" s="21"/>
      <c r="C111" s="105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0"/>
    </row>
    <row r="112" spans="1:12" x14ac:dyDescent="0.2">
      <c r="A112" s="2"/>
      <c r="B112" s="21"/>
      <c r="C112" s="106" t="s">
        <v>47</v>
      </c>
      <c r="D112" s="106" t="s">
        <v>40</v>
      </c>
      <c r="E112" s="106" t="s">
        <v>29</v>
      </c>
      <c r="F112" s="106" t="s">
        <v>26</v>
      </c>
      <c r="G112" s="106" t="s">
        <v>30</v>
      </c>
      <c r="H112" s="106" t="s">
        <v>34</v>
      </c>
      <c r="I112" s="106" t="s">
        <v>48</v>
      </c>
      <c r="J112" s="106" t="s">
        <v>49</v>
      </c>
      <c r="K112" s="21"/>
      <c r="L112" s="60"/>
    </row>
    <row r="113" spans="1:12" x14ac:dyDescent="0.2">
      <c r="A113" s="2"/>
      <c r="B113" s="21"/>
      <c r="C113" s="107" t="e">
        <f>AG14</f>
        <v>#DIV/0!</v>
      </c>
      <c r="D113" s="108" t="e">
        <f>AG15</f>
        <v>#DIV/0!</v>
      </c>
      <c r="E113" s="108" t="e">
        <f>AG16</f>
        <v>#DIV/0!</v>
      </c>
      <c r="F113" s="109" t="e">
        <f>AG17</f>
        <v>#DIV/0!</v>
      </c>
      <c r="G113" s="110" t="e">
        <f>AG18</f>
        <v>#DIV/0!</v>
      </c>
      <c r="H113" s="111" t="e">
        <f>AG23</f>
        <v>#DIV/0!</v>
      </c>
      <c r="I113" s="110" t="e">
        <f>IF(AG13&gt;=100,AG24,IF(AE24&lt;0.3,0,AG24))</f>
        <v>#DIV/0!</v>
      </c>
      <c r="J113" s="112" t="e">
        <f>IF(AE25&lt;5,0,AG25)</f>
        <v>#DIV/0!</v>
      </c>
      <c r="K113" s="21"/>
      <c r="L113" s="60"/>
    </row>
    <row r="114" spans="1:12" x14ac:dyDescent="0.2">
      <c r="A114" s="2"/>
      <c r="B114" s="21"/>
      <c r="C114" s="113" t="s">
        <v>50</v>
      </c>
      <c r="D114" s="114" t="s">
        <v>51</v>
      </c>
      <c r="E114" s="114" t="s">
        <v>51</v>
      </c>
      <c r="F114" s="115" t="s">
        <v>51</v>
      </c>
      <c r="G114" s="114" t="s">
        <v>51</v>
      </c>
      <c r="H114" s="115" t="s">
        <v>51</v>
      </c>
      <c r="I114" s="114" t="s">
        <v>51</v>
      </c>
      <c r="J114" s="116" t="s">
        <v>52</v>
      </c>
      <c r="K114" s="21"/>
      <c r="L114" s="60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0"/>
    </row>
    <row r="117" spans="1:12" x14ac:dyDescent="0.2">
      <c r="A117" s="91"/>
    </row>
    <row r="118" spans="1:12" x14ac:dyDescent="0.2">
      <c r="A118" s="91"/>
    </row>
    <row r="119" spans="1:12" x14ac:dyDescent="0.2">
      <c r="A119" s="120"/>
    </row>
    <row r="120" spans="1:12" x14ac:dyDescent="0.2">
      <c r="A120" s="91"/>
    </row>
  </sheetData>
  <mergeCells count="11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</mergeCells>
  <phoneticPr fontId="16"/>
  <conditionalFormatting sqref="AA1:AJ1048576 C111:J11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IF($A$4="蒸し物",IF($AE$21&lt;30,TRUE,FALSE),FALSE)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27" r:id="rId4" name="cmdCopy87">
          <controlPr defaultSize="0" autoLine="0" autoPict="0" r:id="rId5">
            <anchor moveWithCells="1">
              <from>
                <xdr:col>13</xdr:col>
                <xdr:colOff>0</xdr:colOff>
                <xdr:row>85</xdr:row>
                <xdr:rowOff>133350</xdr:rowOff>
              </from>
              <to>
                <xdr:col>18</xdr:col>
                <xdr:colOff>38100</xdr:colOff>
                <xdr:row>87</xdr:row>
                <xdr:rowOff>0</xdr:rowOff>
              </to>
            </anchor>
          </controlPr>
        </control>
      </mc:Choice>
      <mc:Fallback>
        <control shapeId="1027" r:id="rId4" name="cmdCopy87"/>
      </mc:Fallback>
    </mc:AlternateContent>
    <mc:AlternateContent xmlns:mc="http://schemas.openxmlformats.org/markup-compatibility/2006">
      <mc:Choice Requires="x14">
        <control shapeId="1028" r:id="rId6" name="cmdClear87">
          <controlPr defaultSize="0" autoLine="0" autoPict="0" r:id="rId7">
            <anchor mov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133350</xdr:colOff>
                <xdr:row>87</xdr:row>
                <xdr:rowOff>0</xdr:rowOff>
              </to>
            </anchor>
          </controlPr>
        </control>
      </mc:Choice>
      <mc:Fallback>
        <control shapeId="1028" r:id="rId6" name="cmdClear87"/>
      </mc:Fallback>
    </mc:AlternateContent>
    <mc:AlternateContent xmlns:mc="http://schemas.openxmlformats.org/markup-compatibility/2006">
      <mc:Choice Requires="x14">
        <control shapeId="1029" r:id="rId8" name="cmdCopy104">
          <controlPr defaultSize="0" autoLine="0" r:id="rId9">
            <anchor moveWithCells="1">
              <from>
                <xdr:col>13</xdr:col>
                <xdr:colOff>0</xdr:colOff>
                <xdr:row>102</xdr:row>
                <xdr:rowOff>142875</xdr:rowOff>
              </from>
              <to>
                <xdr:col>18</xdr:col>
                <xdr:colOff>38100</xdr:colOff>
                <xdr:row>103</xdr:row>
                <xdr:rowOff>190500</xdr:rowOff>
              </to>
            </anchor>
          </controlPr>
        </control>
      </mc:Choice>
      <mc:Fallback>
        <control shapeId="1029" r:id="rId8" name="cmdCopy104"/>
      </mc:Fallback>
    </mc:AlternateContent>
    <mc:AlternateContent xmlns:mc="http://schemas.openxmlformats.org/markup-compatibility/2006">
      <mc:Choice Requires="x14">
        <control shapeId="1030" r:id="rId10" name="cmdClear104">
          <controlPr defaultSize="0" autoLine="0" autoPict="0" r:id="rId11">
            <anchor moveWithCells="1">
              <from>
                <xdr:col>23</xdr:col>
                <xdr:colOff>38100</xdr:colOff>
                <xdr:row>102</xdr:row>
                <xdr:rowOff>142875</xdr:rowOff>
              </from>
              <to>
                <xdr:col>26</xdr:col>
                <xdr:colOff>133350</xdr:colOff>
                <xdr:row>103</xdr:row>
                <xdr:rowOff>180975</xdr:rowOff>
              </to>
            </anchor>
          </controlPr>
        </control>
      </mc:Choice>
      <mc:Fallback>
        <control shapeId="1030" r:id="rId10" name="cmdClear104"/>
      </mc:Fallback>
    </mc:AlternateContent>
    <mc:AlternateContent xmlns:mc="http://schemas.openxmlformats.org/markup-compatibility/2006">
      <mc:Choice Requires="x14">
        <control shapeId="1025" r:id="rId12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123825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2026-05-18T05:00:42Z</dcterms:modified>
</cp:coreProperties>
</file>