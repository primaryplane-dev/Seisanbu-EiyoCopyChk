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60" windowWidth="19575" windowHeight="804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15" l="1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AG12" i="15"/>
  <c r="B90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F57" i="15"/>
  <c r="H65" i="15"/>
  <c r="G69" i="15"/>
  <c r="K77" i="15"/>
  <c r="L77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J69" i="15" l="1"/>
  <c r="L75" i="15"/>
  <c r="I98" i="15"/>
  <c r="C94" i="15"/>
  <c r="G92" i="15"/>
  <c r="C92" i="15"/>
  <c r="C63" i="15"/>
  <c r="D69" i="15"/>
  <c r="D63" i="15"/>
  <c r="H55" i="15"/>
  <c r="F63" i="15"/>
  <c r="H69" i="15"/>
  <c r="H63" i="15"/>
  <c r="J57" i="15"/>
  <c r="K81" i="15"/>
  <c r="G55" i="15"/>
  <c r="J77" i="15"/>
  <c r="H75" i="15"/>
  <c r="J59" i="15"/>
  <c r="D71" i="15"/>
  <c r="G59" i="15"/>
  <c r="L69" i="15"/>
  <c r="F59" i="15"/>
  <c r="G75" i="15"/>
  <c r="H67" i="15"/>
  <c r="F75" i="15"/>
  <c r="F94" i="15"/>
  <c r="F81" i="15"/>
  <c r="C75" i="15"/>
  <c r="D67" i="15"/>
  <c r="D59" i="15"/>
  <c r="F67" i="15"/>
  <c r="D81" i="15"/>
  <c r="H71" i="15"/>
  <c r="K65" i="15"/>
  <c r="L57" i="15"/>
  <c r="F55" i="15"/>
  <c r="J81" i="15"/>
  <c r="H81" i="15"/>
  <c r="L94" i="15"/>
  <c r="C98" i="15"/>
  <c r="J79" i="15"/>
  <c r="G71" i="15"/>
  <c r="J65" i="15"/>
  <c r="K57" i="15"/>
  <c r="G79" i="15"/>
  <c r="F79" i="15"/>
  <c r="C71" i="15"/>
  <c r="K63" i="15"/>
  <c r="G57" i="15"/>
  <c r="L73" i="15"/>
  <c r="L61" i="15"/>
  <c r="E96" i="15"/>
  <c r="K61" i="15"/>
  <c r="H96" i="15"/>
  <c r="H73" i="15"/>
  <c r="J97" i="15"/>
  <c r="G73" i="15"/>
  <c r="F77" i="15"/>
  <c r="F73" i="15"/>
  <c r="D65" i="15"/>
  <c r="F61" i="15"/>
  <c r="K98" i="15"/>
  <c r="C81" i="15"/>
  <c r="D77" i="15"/>
  <c r="C73" i="15"/>
  <c r="C69" i="15"/>
  <c r="C65" i="15"/>
  <c r="D61" i="15"/>
  <c r="D57" i="15"/>
  <c r="D79" i="15"/>
  <c r="C67" i="15"/>
  <c r="C55" i="15"/>
  <c r="K73" i="15"/>
  <c r="J61" i="15"/>
  <c r="G77" i="15"/>
  <c r="F65" i="15"/>
  <c r="G61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J83" i="15" l="1"/>
  <c r="AG13" i="15"/>
  <c r="AG26" i="15" s="1"/>
  <c r="Z26" i="15" s="1"/>
  <c r="C83" i="15"/>
  <c r="C85" i="15" s="1"/>
  <c r="C86" i="15" s="1"/>
  <c r="C90" i="15" s="1"/>
  <c r="C100" i="15" s="1"/>
  <c r="C102" i="15" s="1"/>
  <c r="C103" i="15" s="1"/>
  <c r="AE23" i="15" s="1"/>
  <c r="K85" i="15"/>
  <c r="K86" i="15" s="1"/>
  <c r="K90" i="15" s="1"/>
  <c r="K100" i="15" s="1"/>
  <c r="F85" i="15"/>
  <c r="F86" i="15" s="1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K102" i="15" l="1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G27" i="15" s="1"/>
  <c r="J113" i="15" s="1"/>
  <c r="AE15" i="15"/>
  <c r="AG15" i="15" s="1"/>
  <c r="AE25" i="15"/>
  <c r="AG25" i="15" s="1"/>
  <c r="Z25" i="15" s="1"/>
  <c r="AG23" i="15"/>
  <c r="AG19" i="15"/>
  <c r="I126" i="15" s="1"/>
  <c r="B86" i="15"/>
  <c r="F87" i="15" s="1"/>
  <c r="I113" i="15"/>
  <c r="D113" i="15" l="1"/>
  <c r="I122" i="15"/>
  <c r="E113" i="15"/>
  <c r="I123" i="15"/>
  <c r="AK20" i="15"/>
  <c r="AG22" i="15"/>
  <c r="AG20" i="15" s="1"/>
  <c r="AE20" i="15"/>
  <c r="H113" i="15"/>
  <c r="F90" i="15"/>
  <c r="F100" i="15" s="1"/>
  <c r="B87" i="15"/>
  <c r="G113" i="15" l="1"/>
  <c r="I127" i="15"/>
  <c r="F102" i="15"/>
  <c r="F103" i="15" s="1"/>
  <c r="B103" i="15" s="1"/>
  <c r="F104" i="15" s="1"/>
  <c r="C108" i="15" s="1"/>
  <c r="AE14" i="15" s="1"/>
  <c r="AE18" i="15" l="1"/>
  <c r="AG18" i="15" s="1"/>
  <c r="F106" i="15"/>
  <c r="AE17" i="15" s="1"/>
  <c r="B104" i="15"/>
  <c r="AG14" i="15" l="1"/>
  <c r="I125" i="15"/>
  <c r="K113" i="15"/>
  <c r="AG17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<sst xmlns="http://schemas.openxmlformats.org/spreadsheetml/2006/main" count="166" uniqueCount="98">
  <si>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</si>
  <si>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</si>
  <si>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</si>
  <si>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</si>
  <si>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</si>
  <si>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</si>
  <si>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</si>
  <si>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</si>
  <si>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</si>
  <si>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</si>
  <si>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</si>
  <si>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</si>
  <si>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</si>
  <si>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</si>
  <si>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</si>
  <si>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</si>
  <si>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</si>
  <si>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</si>
  <si>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</si>
  <si>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</si>
  <si>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</si>
  <si>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</si>
  <si>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</si>
  <si>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</si>
  <si>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</si>
  <si>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</si>
  <si>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</si>
  <si>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</si>
  <si>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</si>
  <si>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</si>
  <si>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</si>
  <si>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</si>
  <si>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</si>
  <si>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</si>
  <si>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</si>
  <si>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</si>
  <si>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</si>
  <si>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</si>
  <si>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</si>
  <si>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</si>
  <si>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</si>
  <si>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</si>
  <si>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</si>
  <si>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</si>
  <si>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</si>
  <si>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</si>
  <si>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</si>
  <si>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</si>
  <si>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</si>
  <si>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</si>
  <si>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</si>
  <si>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</si>
  <si>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</si>
  <si>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</si>
  <si>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</si>
  <si>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</si>
  <si>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</si>
  <si>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</si>
  <si>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</si>
  <si>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</si>
  <si>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</si>
  <si>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</si>
  <si>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</si>
  <si>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</si>
  <si>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</si>
  <si>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</si>
  <si>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g</t>
    <phoneticPr fontId="1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</si>
  <si>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</si>
  <si>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</si>
  <si>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</si>
  <si>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</si>
  <si>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</si>
  <si>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</si>
  <si>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</si>
  <si>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</si>
  <si>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</si>
  <si>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</si>
  <si>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</si>
  <si>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</si>
  <si>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</si>
  <si>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</si>
  <si>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</si>
  <si>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38"/>
  </si>
  <si>
    <t>脂質</t>
    <rPh sb="0" eb="2">
      <t>シシツ</t>
    </rPh>
    <phoneticPr fontId="38"/>
  </si>
  <si>
    <t>炭水化物</t>
    <rPh sb="0" eb="4">
      <t>タンスイカブツ</t>
    </rPh>
    <phoneticPr fontId="38"/>
  </si>
  <si>
    <t>　－糖質</t>
    <rPh sb="2" eb="4">
      <t>トウシツ</t>
    </rPh>
    <phoneticPr fontId="38"/>
  </si>
  <si>
    <t>　－食物繊維</t>
    <rPh sb="2" eb="4">
      <t>ショクモツ</t>
    </rPh>
    <rPh sb="4" eb="6">
      <t>センイ</t>
    </rPh>
    <phoneticPr fontId="38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</si>
  <si>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</si>
  <si>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</si>
  <si>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</si>
  <si>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</si>
  <si>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</si>
  <si>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個</t>
    <rPh sb="0" eb="1">
      <t>コ</t>
    </rPh>
    <phoneticPr fontId="3"/>
  </si>
  <si>
    <t>003094001</t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</si>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</sst>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1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indexed="8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7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0" fontId="33" fillId="0" borderId="0" xfId="3" applyNumberFormat="1" applyFont="1" applyAlignment="1">
      <alignment horizontal="center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6" fillId="0" borderId="0" xfId="4" applyNumberFormat="1" applyFont="1" applyAlignment="1">
      <alignment vertical="center"/>
    </xf>
    <xf numFmtId="49" fontId="36" fillId="0" borderId="0" xfId="4" applyNumberFormat="1" applyFont="1" applyBorder="1" applyAlignment="1">
      <alignment horizontal="left" vertical="center" shrinkToFit="1"/>
    </xf>
    <xf numFmtId="49" fontId="36" fillId="0" borderId="0" xfId="4" applyNumberFormat="1" applyFont="1" applyFill="1" applyBorder="1" applyAlignment="1" applyProtection="1">
      <alignment vertical="center"/>
      <protection locked="0"/>
    </xf>
    <xf numFmtId="49" fontId="36" fillId="0" borderId="31" xfId="4" applyNumberFormat="1" applyFont="1" applyFill="1" applyBorder="1" applyAlignment="1" applyProtection="1">
      <alignment vertical="center"/>
      <protection locked="0"/>
    </xf>
    <xf numFmtId="49" fontId="36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6" fillId="0" borderId="0" xfId="4" applyNumberFormat="1" applyFont="1" applyFill="1" applyBorder="1" applyAlignment="1" applyProtection="1">
      <alignment vertical="center" shrinkToFit="1"/>
      <protection locked="0"/>
    </xf>
    <xf numFmtId="49" fontId="36" fillId="0" borderId="40" xfId="4" applyNumberFormat="1" applyFont="1" applyFill="1" applyBorder="1" applyAlignment="1" applyProtection="1">
      <alignment vertical="center" shrinkToFit="1"/>
      <protection locked="0"/>
    </xf>
    <xf numFmtId="49" fontId="36" fillId="0" borderId="33" xfId="4" applyNumberFormat="1" applyFont="1" applyFill="1" applyBorder="1" applyAlignment="1" applyProtection="1">
      <alignment vertical="center" shrinkToFit="1"/>
      <protection locked="0"/>
    </xf>
    <xf numFmtId="49" fontId="36" fillId="0" borderId="41" xfId="4" applyNumberFormat="1" applyFont="1" applyFill="1" applyBorder="1" applyAlignment="1" applyProtection="1">
      <alignment vertical="center" shrinkToFit="1"/>
      <protection locked="0"/>
    </xf>
    <xf numFmtId="49" fontId="36" fillId="0" borderId="36" xfId="4" applyNumberFormat="1" applyFont="1" applyFill="1" applyBorder="1" applyAlignment="1" applyProtection="1">
      <alignment vertical="center" shrinkToFit="1"/>
      <protection locked="0"/>
    </xf>
    <xf numFmtId="49" fontId="36" fillId="0" borderId="8" xfId="4" applyNumberFormat="1" applyFont="1" applyFill="1" applyBorder="1" applyAlignment="1" applyProtection="1">
      <alignment vertical="center" shrinkToFit="1"/>
      <protection locked="0"/>
    </xf>
    <xf numFmtId="49" fontId="36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39" fillId="0" borderId="0" xfId="0" applyFont="1"/>
    <xf numFmtId="2" fontId="5" fillId="0" borderId="43" xfId="3" applyFont="1" applyBorder="1"/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0" borderId="45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6" xfId="3" applyNumberFormat="1" applyFont="1" applyFill="1" applyBorder="1" applyProtection="1">
      <protection locked="0"/>
    </xf>
    <xf numFmtId="2" fontId="6" fillId="0" borderId="46" xfId="3" applyNumberFormat="1" applyFont="1" applyBorder="1" applyProtection="1">
      <protection locked="0"/>
    </xf>
    <xf numFmtId="2" fontId="6" fillId="4" borderId="45" xfId="7" applyNumberFormat="1" applyFont="1" applyFill="1" applyBorder="1" applyAlignment="1" applyProtection="1">
      <protection locked="0"/>
    </xf>
    <xf numFmtId="180" fontId="36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6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6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6" fillId="8" borderId="42" xfId="4" applyNumberFormat="1" applyFont="1" applyFill="1" applyBorder="1" applyAlignment="1" applyProtection="1">
      <alignment horizontal="righ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6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6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6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6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6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16" xfId="4" applyNumberFormat="1" applyFont="1" applyBorder="1" applyAlignment="1">
      <alignment horizontal="center" vertical="center"/>
    </xf>
    <xf numFmtId="0" fontId="36" fillId="0" borderId="30" xfId="5" applyFont="1" applyBorder="1" applyAlignment="1">
      <alignment horizontal="left" vertical="center" shrinkToFit="1"/>
    </xf>
    <xf numFmtId="0" fontId="36" fillId="8" borderId="30" xfId="5" applyFont="1" applyFill="1" applyBorder="1" applyAlignment="1">
      <alignment horizontal="left" vertical="center" shrinkToFit="1"/>
    </xf>
    <xf numFmtId="188" fontId="36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6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6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34" xfId="4" applyNumberFormat="1" applyFont="1" applyFill="1" applyBorder="1" applyAlignment="1" applyProtection="1">
      <alignment horizontal="left" vertical="center" shrinkToFit="1"/>
      <protection locked="0"/>
    </xf>
    <xf numFmtId="2" fontId="4" fillId="0" borderId="0" xfId="3" applyFont="1"/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6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6" fillId="0" borderId="29" xfId="4" applyNumberFormat="1" applyFont="1" applyFill="1" applyBorder="1" applyAlignment="1" applyProtection="1">
      <alignment horizontal="left" vertical="center" shrinkToFit="1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4" xfId="3" applyNumberFormat="1" applyFont="1" applyFill="1" applyBorder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47625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47625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38100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38100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133350</xdr:colOff>
          <xdr:row>3</xdr:row>
          <xdr:rowOff>0</xdr:rowOff>
        </xdr:from>
        <xdr:to>
          <xdr:col>43</xdr:col>
          <xdr:colOff>419100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3" transitionEvaluation="1" codeName="Sheet29"/>
  <dimension ref="A1:BH127"/>
  <sheetViews>
    <sheetView showGridLines="0" tabSelected="1" topLeftCell="A73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4" width="10.125" style="4" customWidth="1"/>
    <col min="5" max="6" width="10.625" style="4" customWidth="1"/>
    <col min="7" max="8" width="9.625" style="4" customWidth="1"/>
    <col min="9" max="9" width="10.62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10.625" style="4" customWidth="1"/>
    <col min="15" max="24" width="1.125" style="4" customWidth="1"/>
    <col min="25" max="25" width="5.25" style="4" customWidth="1"/>
    <col min="26" max="26" width="5.875" style="12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68</v>
      </c>
    </row>
    <row r="2" spans="1:37" x14ac:dyDescent="0.2">
      <c r="A2" s="115" t="s">
        <v>72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73</v>
      </c>
      <c r="B4" s="2"/>
      <c r="D4" s="2"/>
      <c r="E4" s="2"/>
      <c r="F4" s="153" t="s">
        <v>87</v>
      </c>
      <c r="G4" s="199"/>
      <c r="H4" s="200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5" t="s">
        <v>1</v>
      </c>
      <c r="B5" s="176"/>
      <c r="C5" s="176"/>
      <c r="D5" s="176"/>
      <c r="E5" s="177"/>
      <c r="F5" s="118" t="s">
        <v>63</v>
      </c>
      <c r="G5" s="118" t="s">
        <v>64</v>
      </c>
      <c r="H5" s="118" t="s">
        <v>65</v>
      </c>
      <c r="I5" s="139" t="s">
        <v>94</v>
      </c>
      <c r="J5" s="2"/>
      <c r="K5" s="2" t="s">
        <v>69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2026年月日</v>
      </c>
      <c r="AJ5" s="5"/>
    </row>
    <row r="6" spans="1:37" ht="21" x14ac:dyDescent="0.2">
      <c r="A6" s="178"/>
      <c r="B6" s="179"/>
      <c r="C6" s="179"/>
      <c r="D6" s="179"/>
      <c r="E6" s="180"/>
      <c r="F6" s="119"/>
      <c r="G6" s="120" t="s">
        <v>92</v>
      </c>
      <c r="H6" s="121"/>
      <c r="I6" s="6"/>
      <c r="J6" s="7"/>
      <c r="K6" s="7" t="s">
        <v>75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2" t="s">
        <v>2</v>
      </c>
      <c r="B7" s="122" t="s">
        <v>3</v>
      </c>
      <c r="C7" s="122" t="s">
        <v>4</v>
      </c>
      <c r="D7" s="122" t="s">
        <v>5</v>
      </c>
      <c r="E7" s="122" t="s">
        <v>6</v>
      </c>
      <c r="F7" s="122" t="s">
        <v>7</v>
      </c>
      <c r="G7" s="122" t="s">
        <v>8</v>
      </c>
      <c r="H7" s="122" t="s">
        <v>9</v>
      </c>
      <c r="I7" s="123" t="s">
        <v>10</v>
      </c>
      <c r="J7" s="124" t="s">
        <v>70</v>
      </c>
      <c r="K7" s="125" t="s">
        <v>71</v>
      </c>
      <c r="L7" s="126" t="s">
        <v>47</v>
      </c>
      <c r="AA7" s="12" t="s">
        <v>14</v>
      </c>
      <c r="AB7" s="181" t="e">
        <f>IF(COUNTIF($F$6,"1"),CONCATENATE($A$6,"(",$H$6,")"),CONCATENATE($A$6,$F$6,$G$6,"入","(",$H$6,")"))</f>
        <v>#VALUE!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</row>
    <row r="9" spans="1:37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192" t="s">
        <v>58</v>
      </c>
      <c r="AG12" s="195" t="str">
        <f>"1"&amp;$G$6&amp;"当たり"</f>
        <v>1個当たり</v>
      </c>
      <c r="AH12" s="195"/>
      <c r="AI12" s="195"/>
      <c r="AJ12" s="14"/>
      <c r="AK12" s="174" t="s">
        <v>43</v>
      </c>
    </row>
    <row r="13" spans="1:37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193"/>
      <c r="AF13" s="13"/>
      <c r="AG13" s="132">
        <f>IF((COUNTIF($A$6,"*7P*")+COUNTIF($A$6,"*ｾﾌﾞﾝﾌﾟﾚﾐｱﾑ*")),$B$106,ROUND($B$102,0))</f>
        <v>100</v>
      </c>
      <c r="AH13" s="127" t="s">
        <v>66</v>
      </c>
      <c r="AI13" s="117"/>
      <c r="AJ13" s="16"/>
      <c r="AK13" s="174"/>
    </row>
    <row r="14" spans="1:37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8"/>
      <c r="AA14" s="18" t="s">
        <v>91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48</v>
      </c>
      <c r="AI14" s="23"/>
      <c r="AJ14" s="19"/>
      <c r="AK14" s="98">
        <v>0</v>
      </c>
    </row>
    <row r="15" spans="1:37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ROUND(($AG$13*AE15)/100,1)</f>
        <v>0</v>
      </c>
      <c r="AH15" s="20" t="s">
        <v>59</v>
      </c>
      <c r="AI15" s="23"/>
      <c r="AJ15" s="25"/>
      <c r="AK15" s="98">
        <v>1</v>
      </c>
    </row>
    <row r="16" spans="1:37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ROUND(($AG$13*AE16)/100,1)</f>
        <v>0</v>
      </c>
      <c r="AH16" s="20" t="s">
        <v>59</v>
      </c>
      <c r="AI16" s="23"/>
      <c r="AJ16" s="25"/>
      <c r="AK16" s="98">
        <v>1</v>
      </c>
    </row>
    <row r="17" spans="1:37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59</v>
      </c>
      <c r="AI17" s="23"/>
      <c r="AJ17" s="25"/>
      <c r="AK17" s="98">
        <v>1</v>
      </c>
    </row>
    <row r="18" spans="1:37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56" t="s">
        <v>89</v>
      </c>
      <c r="AB18" s="25"/>
      <c r="AC18" s="20"/>
      <c r="AD18" s="20"/>
      <c r="AE18" s="23" t="e">
        <f>$F$104</f>
        <v>#DIV/0!</v>
      </c>
      <c r="AF18" s="22"/>
      <c r="AG18" s="23" t="e">
        <f>ROUND(($AG$13*AE18)/100,1)</f>
        <v>#DIV/0!</v>
      </c>
      <c r="AH18" s="20" t="s">
        <v>59</v>
      </c>
      <c r="AI18" s="28"/>
      <c r="AJ18" s="25"/>
      <c r="AK18" s="98">
        <v>1</v>
      </c>
    </row>
    <row r="19" spans="1:37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57" t="s">
        <v>90</v>
      </c>
      <c r="AB19" s="25"/>
      <c r="AC19" s="82"/>
      <c r="AD19" s="20"/>
      <c r="AE19" s="23">
        <f>$G$104</f>
        <v>0</v>
      </c>
      <c r="AF19" s="22"/>
      <c r="AG19" s="23">
        <f>ROUND(($AG$13*AE19)/100,1)</f>
        <v>0</v>
      </c>
      <c r="AH19" s="82" t="s">
        <v>59</v>
      </c>
      <c r="AI19" s="28"/>
      <c r="AJ19" s="25"/>
      <c r="AK19" s="98">
        <v>1</v>
      </c>
    </row>
    <row r="20" spans="1:37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4">
        <f>IF($AE$22&lt;4.5,0,ROUND($AE$22/1000*2.54,2))</f>
        <v>0</v>
      </c>
      <c r="AF20" s="135"/>
      <c r="AG20" s="134">
        <f>IF($AE$22&lt;4.5,0,ROUND($AG$22/1000*2.54,2))</f>
        <v>0</v>
      </c>
      <c r="AH20" s="20" t="s">
        <v>59</v>
      </c>
      <c r="AI20" s="21"/>
      <c r="AJ20" s="25"/>
      <c r="AK20" s="98">
        <f>IF(COUNTIF($AE$22,"&lt;4.5"),0,2)</f>
        <v>0</v>
      </c>
    </row>
    <row r="21" spans="1:37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</row>
    <row r="22" spans="1:37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ROUND(($AG$13*AE22)/100,0)</f>
        <v>0</v>
      </c>
      <c r="AH22" s="20" t="s">
        <v>60</v>
      </c>
      <c r="AI22" s="32"/>
      <c r="AJ22" s="30"/>
    </row>
    <row r="23" spans="1:37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ROUND(($AG$13*AE23)/100,1)</f>
        <v>0</v>
      </c>
      <c r="AH23" s="31" t="s">
        <v>59</v>
      </c>
      <c r="AI23" s="28"/>
      <c r="AJ23" s="25"/>
    </row>
    <row r="24" spans="1:37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ROUND(($AG$13*AE24)/100,1)</f>
        <v>0</v>
      </c>
      <c r="AH24" s="31" t="s">
        <v>59</v>
      </c>
      <c r="AI24" s="28"/>
      <c r="AJ24" s="25"/>
    </row>
    <row r="25" spans="1:37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8" t="str">
        <f>IF(AG25&lt;15,"","＊1")</f>
        <v/>
      </c>
      <c r="AA25" s="24" t="s">
        <v>12</v>
      </c>
      <c r="AB25" s="20"/>
      <c r="AC25" s="20"/>
      <c r="AD25" s="20"/>
      <c r="AE25" s="134">
        <f>$K$104</f>
        <v>0</v>
      </c>
      <c r="AF25" s="135"/>
      <c r="AG25" s="134">
        <f>ROUND(($AG$13*AE25)/100,2)</f>
        <v>0</v>
      </c>
      <c r="AH25" s="20" t="s">
        <v>59</v>
      </c>
      <c r="AI25" s="28"/>
      <c r="AJ25" s="25"/>
      <c r="AK25" s="98">
        <v>2</v>
      </c>
    </row>
    <row r="26" spans="1:37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8" t="str">
        <f>IF(AND((COUNTIF($A$6,"*ｾﾌﾞﾝﾌﾟﾚﾐｱﾑ*")+COUNTIF($A$6,"*7P*")),$AE$26&gt;=0.3),"＊3","")</f>
        <v/>
      </c>
      <c r="Z26" s="128" t="str">
        <f>IF(OR(AND(AG12="1包装当たり",AE26&gt;=0.3,AG26&gt;=0.45),AND(AG12&lt;&gt;"1包装当たり",AE26&gt;=0.3,AG26*VALUE(F6)&gt;=0.45),AE26&gt;=0.45,AND(AG12&lt;&gt;"1包装当たり",AG13&gt;=100,AG26*VALUE(F6)&gt;=0.45),AND(AG12="1包装当たり",AE26&gt;=0.3,AG26&gt;=0.45)),"＊2","")</f>
        <v/>
      </c>
      <c r="AA26" s="24" t="s">
        <v>27</v>
      </c>
      <c r="AB26" s="20"/>
      <c r="AC26" s="20"/>
      <c r="AD26" s="20"/>
      <c r="AE26" s="134">
        <f>$J$104</f>
        <v>0</v>
      </c>
      <c r="AF26" s="135"/>
      <c r="AG26" s="134">
        <f>ROUND(($AG$13*AE26)/100,2)</f>
        <v>0</v>
      </c>
      <c r="AH26" s="20" t="s">
        <v>59</v>
      </c>
      <c r="AI26" s="28"/>
      <c r="AJ26" s="25"/>
      <c r="AK26" s="98">
        <f>IF($AE$26=0,0,2)</f>
        <v>0</v>
      </c>
    </row>
    <row r="27" spans="1:37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ROUND(($AG$13*AE27)/100,0)</f>
        <v>0</v>
      </c>
      <c r="AH27" s="20" t="s">
        <v>60</v>
      </c>
      <c r="AI27" s="28"/>
      <c r="AJ27" s="25"/>
      <c r="AK27" s="98">
        <v>0</v>
      </c>
    </row>
    <row r="28" spans="1:37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37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37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37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194" t="s">
        <v>51</v>
      </c>
      <c r="AB31" s="194"/>
      <c r="AC31" s="194"/>
      <c r="AD31" s="194"/>
      <c r="AE31" s="194"/>
      <c r="AF31" s="194"/>
      <c r="AG31" s="194"/>
      <c r="AH31" s="194"/>
      <c r="AI31" s="194"/>
      <c r="AJ31" s="194"/>
    </row>
    <row r="32" spans="1:37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A32" s="5"/>
      <c r="AB32" s="198"/>
      <c r="AC32" s="198"/>
      <c r="AD32" s="5"/>
      <c r="AE32" s="5"/>
      <c r="AF32" s="5"/>
      <c r="AG32" s="5"/>
      <c r="AH32" s="5"/>
      <c r="AI32" s="5"/>
      <c r="AJ32" s="5"/>
      <c r="AK32" s="53"/>
    </row>
    <row r="33" spans="1:60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A33" s="5"/>
      <c r="AB33" s="198"/>
      <c r="AC33" s="198"/>
      <c r="AD33" s="5"/>
      <c r="AE33" s="5"/>
      <c r="AF33" s="5"/>
      <c r="AG33" s="5"/>
      <c r="AH33" s="5"/>
      <c r="AI33" s="5"/>
      <c r="AJ33" s="5"/>
      <c r="AK33" s="54"/>
    </row>
    <row r="34" spans="1:60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A34" s="5"/>
      <c r="AB34" s="198"/>
      <c r="AC34" s="198"/>
      <c r="AD34" s="5"/>
      <c r="AE34" s="5"/>
      <c r="AF34" s="5"/>
      <c r="AG34" s="5"/>
      <c r="AH34" s="5"/>
      <c r="AI34" s="44"/>
      <c r="AJ34" s="44"/>
    </row>
    <row r="35" spans="1:60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  <c r="AI35" s="5"/>
      <c r="AJ35" s="5"/>
    </row>
    <row r="36" spans="1:60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  <c r="AI36" s="5"/>
      <c r="AJ36" s="5"/>
    </row>
    <row r="37" spans="1:60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58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  <c r="AI37" s="5"/>
      <c r="AJ37" s="5"/>
    </row>
    <row r="38" spans="1:60" x14ac:dyDescent="0.2">
      <c r="A38" s="6"/>
      <c r="B38" s="6"/>
      <c r="C38" s="6"/>
      <c r="D38" s="6"/>
      <c r="E38" s="6"/>
      <c r="F38" s="6"/>
      <c r="G38" s="6"/>
      <c r="H38" s="6"/>
      <c r="I38" s="6"/>
      <c r="J38" s="160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E38" s="5"/>
      <c r="AF38" s="5"/>
      <c r="AG38" s="5"/>
      <c r="AH38" s="5"/>
      <c r="AI38" s="53"/>
      <c r="AJ38" s="53"/>
    </row>
    <row r="39" spans="1:60" x14ac:dyDescent="0.2">
      <c r="A39" s="122" t="s">
        <v>23</v>
      </c>
      <c r="B39" s="122" t="s">
        <v>18</v>
      </c>
      <c r="C39" s="122" t="s">
        <v>4</v>
      </c>
      <c r="D39" s="122" t="s">
        <v>5</v>
      </c>
      <c r="E39" s="122" t="s">
        <v>6</v>
      </c>
      <c r="F39" s="122" t="s">
        <v>7</v>
      </c>
      <c r="G39" s="122" t="s">
        <v>8</v>
      </c>
      <c r="H39" s="122" t="s">
        <v>9</v>
      </c>
      <c r="I39" s="123" t="s">
        <v>24</v>
      </c>
      <c r="J39" s="124" t="s">
        <v>70</v>
      </c>
      <c r="K39" s="125" t="s">
        <v>71</v>
      </c>
      <c r="L39" s="126" t="s">
        <v>47</v>
      </c>
      <c r="O39" s="43"/>
      <c r="AA39" s="39"/>
      <c r="AB39" s="39"/>
      <c r="AC39" s="46"/>
      <c r="AD39" s="41"/>
      <c r="AI39" s="53"/>
      <c r="AJ39" s="53"/>
    </row>
    <row r="40" spans="1:60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60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  <c r="BH41" s="4" t="s">
        <v>93</v>
      </c>
    </row>
    <row r="42" spans="1:60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9"/>
      <c r="AA42" s="97"/>
      <c r="AB42" s="96"/>
      <c r="AC42" s="96"/>
      <c r="AD42" s="96"/>
      <c r="AE42" s="96"/>
    </row>
    <row r="43" spans="1:60" x14ac:dyDescent="0.2">
      <c r="A43" s="99"/>
      <c r="B43" s="100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4">
        <f t="shared" si="2"/>
        <v>0</v>
      </c>
      <c r="Y43" s="96"/>
      <c r="Z43" s="129"/>
      <c r="AA43" s="96"/>
      <c r="AB43" s="96"/>
      <c r="AC43" s="96"/>
      <c r="AD43" s="96"/>
      <c r="AE43" s="96"/>
    </row>
    <row r="44" spans="1:60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9"/>
      <c r="AA44" s="96"/>
      <c r="AB44" s="96"/>
      <c r="AC44" s="96"/>
      <c r="AD44" s="96"/>
      <c r="AE44" s="96"/>
    </row>
    <row r="45" spans="1:60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9"/>
      <c r="AA45" s="39"/>
      <c r="AB45" s="39"/>
      <c r="AC45" s="40"/>
      <c r="AD45" s="41"/>
      <c r="AE45" s="96"/>
    </row>
    <row r="46" spans="1:60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9"/>
      <c r="AA46" s="39"/>
      <c r="AB46" s="39"/>
      <c r="AC46" s="43"/>
      <c r="AD46" s="41"/>
      <c r="AE46" s="96"/>
    </row>
    <row r="47" spans="1:60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9"/>
      <c r="AA47" s="39"/>
      <c r="AB47" s="39"/>
      <c r="AC47" s="43"/>
      <c r="AD47" s="41"/>
      <c r="AE47" s="96"/>
    </row>
    <row r="48" spans="1:60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9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9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1"/>
      <c r="K50" s="7"/>
      <c r="L50" s="45"/>
      <c r="Y50" s="96"/>
      <c r="Z50" s="129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9"/>
      <c r="AA51" s="39"/>
      <c r="AB51" s="39"/>
      <c r="AC51" s="46"/>
      <c r="AD51" s="41"/>
      <c r="AE51" s="96"/>
    </row>
    <row r="52" spans="1:31" x14ac:dyDescent="0.2">
      <c r="A52" s="122" t="s">
        <v>2</v>
      </c>
      <c r="B52" s="122" t="s">
        <v>32</v>
      </c>
      <c r="C52" s="122" t="s">
        <v>4</v>
      </c>
      <c r="D52" s="122" t="s">
        <v>5</v>
      </c>
      <c r="E52" s="122" t="s">
        <v>6</v>
      </c>
      <c r="F52" s="122" t="s">
        <v>7</v>
      </c>
      <c r="G52" s="122" t="s">
        <v>8</v>
      </c>
      <c r="H52" s="122" t="s">
        <v>9</v>
      </c>
      <c r="I52" s="123" t="s">
        <v>24</v>
      </c>
      <c r="J52" s="124" t="s">
        <v>11</v>
      </c>
      <c r="K52" s="125" t="s">
        <v>12</v>
      </c>
      <c r="L52" s="126" t="s">
        <v>13</v>
      </c>
      <c r="Y52" s="96"/>
      <c r="Z52" s="129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30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N53" s="4" t="str">
        <f>IF(N8="","",N8)</f>
        <v/>
      </c>
      <c r="Y53" s="96"/>
      <c r="Z53" s="129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30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N54" s="4" t="str">
        <f t="shared" ref="N54:N82" si="14">IF(N9="","",N9)</f>
        <v/>
      </c>
      <c r="Y54" s="96"/>
      <c r="Z54" s="129"/>
      <c r="AA54" s="96"/>
      <c r="AB54" s="96"/>
      <c r="AC54" s="96"/>
      <c r="AD54" s="96"/>
      <c r="AE54" s="96"/>
    </row>
    <row r="55" spans="1:31" x14ac:dyDescent="0.2">
      <c r="A55" s="99" t="str">
        <f t="shared" ref="A55:B55" si="15">IF(A10="","",A10)</f>
        <v/>
      </c>
      <c r="B55" s="130" t="str">
        <f t="shared" si="15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  <c r="N55" s="4" t="str">
        <f t="shared" si="14"/>
        <v/>
      </c>
    </row>
    <row r="56" spans="1:31" x14ac:dyDescent="0.2">
      <c r="A56" s="99" t="str">
        <f t="shared" ref="A56:B56" si="16">IF(A11="","",A11)</f>
        <v/>
      </c>
      <c r="B56" s="130" t="str">
        <f t="shared" si="16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  <c r="N56" s="4" t="str">
        <f t="shared" si="14"/>
        <v/>
      </c>
    </row>
    <row r="57" spans="1:31" x14ac:dyDescent="0.2">
      <c r="A57" s="99" t="str">
        <f t="shared" ref="A57:B57" si="17">IF(A12="","",A12)</f>
        <v/>
      </c>
      <c r="B57" s="130" t="str">
        <f t="shared" si="17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  <c r="N57" s="4" t="str">
        <f t="shared" si="14"/>
        <v/>
      </c>
    </row>
    <row r="58" spans="1:31" x14ac:dyDescent="0.2">
      <c r="A58" s="99" t="str">
        <f t="shared" ref="A58:B58" si="18">IF(A13="","",A13)</f>
        <v/>
      </c>
      <c r="B58" s="130" t="str">
        <f t="shared" si="18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N58" s="4" t="str">
        <f t="shared" si="14"/>
        <v/>
      </c>
      <c r="AA58" s="83"/>
    </row>
    <row r="59" spans="1:31" x14ac:dyDescent="0.2">
      <c r="A59" s="99" t="str">
        <f t="shared" ref="A59:B59" si="19">IF(A14="","",A14)</f>
        <v/>
      </c>
      <c r="B59" s="130" t="str">
        <f t="shared" si="19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N59" s="4" t="str">
        <f t="shared" si="14"/>
        <v/>
      </c>
      <c r="AA59" s="38"/>
    </row>
    <row r="60" spans="1:31" x14ac:dyDescent="0.2">
      <c r="A60" s="99" t="str">
        <f t="shared" ref="A60:B60" si="20">IF(A15="","",A15)</f>
        <v/>
      </c>
      <c r="B60" s="130" t="str">
        <f t="shared" si="20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N60" s="4" t="str">
        <f t="shared" si="14"/>
        <v/>
      </c>
      <c r="AA60" s="87" t="s">
        <v>41</v>
      </c>
    </row>
    <row r="61" spans="1:31" x14ac:dyDescent="0.2">
      <c r="A61" s="99" t="str">
        <f t="shared" ref="A61:B61" si="21">IF(A16="","",A16)</f>
        <v/>
      </c>
      <c r="B61" s="130" t="str">
        <f t="shared" si="21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N61" s="4" t="str">
        <f t="shared" si="14"/>
        <v/>
      </c>
      <c r="AA61" s="116" t="s">
        <v>52</v>
      </c>
    </row>
    <row r="62" spans="1:31" x14ac:dyDescent="0.2">
      <c r="A62" s="99" t="str">
        <f t="shared" ref="A62:B62" si="22">IF(A17="","",A17)</f>
        <v/>
      </c>
      <c r="B62" s="130" t="str">
        <f t="shared" si="22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N62" s="4" t="str">
        <f t="shared" si="14"/>
        <v/>
      </c>
      <c r="AA62" s="88" t="s">
        <v>53</v>
      </c>
    </row>
    <row r="63" spans="1:31" x14ac:dyDescent="0.2">
      <c r="A63" s="99" t="str">
        <f t="shared" ref="A63:B63" si="23">IF(A18="","",A18)</f>
        <v/>
      </c>
      <c r="B63" s="130" t="str">
        <f t="shared" si="23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  <c r="N63" s="4" t="str">
        <f t="shared" si="14"/>
        <v/>
      </c>
    </row>
    <row r="64" spans="1:31" x14ac:dyDescent="0.2">
      <c r="A64" s="99" t="str">
        <f t="shared" ref="A64:B64" si="24">IF(A19="","",A19)</f>
        <v/>
      </c>
      <c r="B64" s="130" t="str">
        <f t="shared" si="24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  <c r="N64" s="4" t="str">
        <f t="shared" si="14"/>
        <v/>
      </c>
    </row>
    <row r="65" spans="1:27" x14ac:dyDescent="0.2">
      <c r="A65" s="99" t="str">
        <f t="shared" ref="A65:B65" si="25">IF(A20="","",A20)</f>
        <v/>
      </c>
      <c r="B65" s="130" t="str">
        <f t="shared" si="25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  <c r="N65" s="4" t="str">
        <f t="shared" si="14"/>
        <v/>
      </c>
    </row>
    <row r="66" spans="1:27" x14ac:dyDescent="0.2">
      <c r="A66" s="99" t="str">
        <f t="shared" ref="A66:B66" si="26">IF(A21="","",A21)</f>
        <v/>
      </c>
      <c r="B66" s="130" t="str">
        <f t="shared" si="26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  <c r="N66" s="4" t="str">
        <f t="shared" si="14"/>
        <v/>
      </c>
    </row>
    <row r="67" spans="1:27" x14ac:dyDescent="0.2">
      <c r="A67" s="99" t="str">
        <f t="shared" ref="A67:B67" si="27">IF(A22="","",A22)</f>
        <v/>
      </c>
      <c r="B67" s="130" t="str">
        <f t="shared" si="27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  <c r="N67" s="4" t="str">
        <f t="shared" si="14"/>
        <v/>
      </c>
    </row>
    <row r="68" spans="1:27" x14ac:dyDescent="0.2">
      <c r="A68" s="99" t="str">
        <f t="shared" ref="A68:B68" si="28">IF(A23="","",A23)</f>
        <v/>
      </c>
      <c r="B68" s="130" t="str">
        <f t="shared" si="28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  <c r="N68" s="4" t="str">
        <f t="shared" si="14"/>
        <v/>
      </c>
    </row>
    <row r="69" spans="1:27" ht="18.75" x14ac:dyDescent="0.3">
      <c r="A69" s="99" t="str">
        <f t="shared" ref="A69:B69" si="29">IF(A24="","",A24)</f>
        <v/>
      </c>
      <c r="B69" s="130" t="str">
        <f t="shared" si="29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N69" s="4" t="str">
        <f t="shared" si="14"/>
        <v/>
      </c>
      <c r="AA69" s="89" t="s">
        <v>42</v>
      </c>
    </row>
    <row r="70" spans="1:27" x14ac:dyDescent="0.2">
      <c r="A70" s="99" t="str">
        <f t="shared" ref="A70:B70" si="30">IF(A25="","",A25)</f>
        <v/>
      </c>
      <c r="B70" s="130" t="str">
        <f t="shared" si="30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N70" s="4" t="str">
        <f t="shared" si="14"/>
        <v/>
      </c>
      <c r="AA70" s="90" t="s">
        <v>61</v>
      </c>
    </row>
    <row r="71" spans="1:27" x14ac:dyDescent="0.2">
      <c r="A71" s="99" t="str">
        <f t="shared" ref="A71:B71" si="31">IF(A26="","",A26)</f>
        <v/>
      </c>
      <c r="B71" s="130" t="str">
        <f t="shared" si="31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N71" s="4" t="str">
        <f t="shared" si="14"/>
        <v/>
      </c>
      <c r="AA71" s="90" t="s">
        <v>54</v>
      </c>
    </row>
    <row r="72" spans="1:27" x14ac:dyDescent="0.2">
      <c r="A72" s="99" t="str">
        <f t="shared" ref="A72:B72" si="32">IF(A27="","",A27)</f>
        <v/>
      </c>
      <c r="B72" s="130" t="str">
        <f t="shared" si="32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N72" s="4" t="str">
        <f t="shared" si="14"/>
        <v/>
      </c>
      <c r="AA72" s="90" t="s">
        <v>55</v>
      </c>
    </row>
    <row r="73" spans="1:27" x14ac:dyDescent="0.2">
      <c r="A73" s="99" t="str">
        <f t="shared" ref="A73:B73" si="33">IF(A28="","",A28)</f>
        <v/>
      </c>
      <c r="B73" s="130" t="str">
        <f t="shared" si="33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N73" s="4" t="str">
        <f t="shared" si="14"/>
        <v/>
      </c>
      <c r="AA73" s="90" t="s">
        <v>56</v>
      </c>
    </row>
    <row r="74" spans="1:27" x14ac:dyDescent="0.2">
      <c r="A74" s="99" t="str">
        <f t="shared" ref="A74:B74" si="34">IF(A29="","",A29)</f>
        <v/>
      </c>
      <c r="B74" s="130" t="str">
        <f t="shared" si="34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N74" s="4" t="str">
        <f t="shared" si="14"/>
        <v/>
      </c>
      <c r="AA74" s="90" t="s">
        <v>57</v>
      </c>
    </row>
    <row r="75" spans="1:27" x14ac:dyDescent="0.2">
      <c r="A75" s="99" t="str">
        <f t="shared" ref="A75:B75" si="35">IF(A30="","",A30)</f>
        <v/>
      </c>
      <c r="B75" s="130" t="str">
        <f t="shared" si="35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N75" s="4" t="str">
        <f t="shared" si="14"/>
        <v/>
      </c>
      <c r="AA75" s="4" t="s">
        <v>74</v>
      </c>
    </row>
    <row r="76" spans="1:27" x14ac:dyDescent="0.2">
      <c r="A76" s="99" t="str">
        <f t="shared" ref="A76:B76" si="36">IF(A31="","",A31)</f>
        <v/>
      </c>
      <c r="B76" s="130" t="str">
        <f t="shared" si="36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  <c r="N76" s="4" t="str">
        <f t="shared" si="14"/>
        <v/>
      </c>
    </row>
    <row r="77" spans="1:27" x14ac:dyDescent="0.2">
      <c r="A77" s="99" t="str">
        <f t="shared" ref="A77:B77" si="37">IF(A32="","",A32)</f>
        <v/>
      </c>
      <c r="B77" s="130" t="str">
        <f t="shared" si="37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  <c r="N77" s="4" t="str">
        <f t="shared" si="14"/>
        <v/>
      </c>
    </row>
    <row r="78" spans="1:27" x14ac:dyDescent="0.2">
      <c r="A78" s="99" t="str">
        <f t="shared" ref="A78:B78" si="38">IF(A33="","",A33)</f>
        <v/>
      </c>
      <c r="B78" s="130" t="str">
        <f t="shared" si="38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  <c r="N78" s="4" t="str">
        <f t="shared" si="14"/>
        <v/>
      </c>
    </row>
    <row r="79" spans="1:27" x14ac:dyDescent="0.2">
      <c r="A79" s="99" t="str">
        <f t="shared" ref="A79:B79" si="39">IF(A34="","",A34)</f>
        <v/>
      </c>
      <c r="B79" s="130" t="str">
        <f t="shared" si="39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  <c r="N79" s="4" t="str">
        <f t="shared" si="14"/>
        <v/>
      </c>
    </row>
    <row r="80" spans="1:27" x14ac:dyDescent="0.2">
      <c r="A80" s="99" t="str">
        <f t="shared" ref="A80:B80" si="40">IF(A35="","",A35)</f>
        <v/>
      </c>
      <c r="B80" s="130" t="str">
        <f t="shared" si="40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  <c r="N80" s="4" t="str">
        <f t="shared" si="14"/>
        <v/>
      </c>
    </row>
    <row r="81" spans="1:14" x14ac:dyDescent="0.2">
      <c r="A81" s="99" t="str">
        <f t="shared" ref="A81:B81" si="41">IF(A36="","",A36)</f>
        <v/>
      </c>
      <c r="B81" s="130" t="str">
        <f t="shared" si="41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  <c r="N81" s="4" t="str">
        <f t="shared" si="14"/>
        <v/>
      </c>
    </row>
    <row r="82" spans="1:14" x14ac:dyDescent="0.2">
      <c r="A82" s="99" t="str">
        <f t="shared" ref="A82:B82" si="42">IF(A37="","",A37)</f>
        <v/>
      </c>
      <c r="B82" s="130" t="str">
        <f t="shared" si="42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  <c r="N82" s="4" t="str">
        <f t="shared" si="14"/>
        <v/>
      </c>
    </row>
    <row r="83" spans="1:14" x14ac:dyDescent="0.2">
      <c r="A83" s="9" t="s">
        <v>33</v>
      </c>
      <c r="B83" s="55">
        <f t="shared" ref="B83:L83" si="43">SUM(B53:B82)</f>
        <v>0</v>
      </c>
      <c r="C83" s="49">
        <f t="shared" si="43"/>
        <v>0</v>
      </c>
      <c r="D83" s="49">
        <f t="shared" si="43"/>
        <v>0</v>
      </c>
      <c r="E83" s="49">
        <f t="shared" si="43"/>
        <v>0</v>
      </c>
      <c r="F83" s="49">
        <f t="shared" si="43"/>
        <v>0</v>
      </c>
      <c r="G83" s="49">
        <f t="shared" si="43"/>
        <v>0</v>
      </c>
      <c r="H83" s="49">
        <f t="shared" si="43"/>
        <v>0</v>
      </c>
      <c r="I83" s="50">
        <f t="shared" si="43"/>
        <v>0</v>
      </c>
      <c r="J83" s="50">
        <f t="shared" si="43"/>
        <v>0</v>
      </c>
      <c r="K83" s="50">
        <f t="shared" si="43"/>
        <v>0</v>
      </c>
      <c r="L83" s="50">
        <f t="shared" si="43"/>
        <v>0</v>
      </c>
    </row>
    <row r="84" spans="1:14" x14ac:dyDescent="0.2">
      <c r="A84" s="9" t="s">
        <v>34</v>
      </c>
      <c r="B84" s="35">
        <v>0</v>
      </c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4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4">SUM(D53:D82)</f>
        <v>0</v>
      </c>
      <c r="E85" s="49">
        <f t="shared" si="44"/>
        <v>0</v>
      </c>
      <c r="F85" s="49">
        <f t="shared" si="44"/>
        <v>0</v>
      </c>
      <c r="G85" s="49">
        <f t="shared" si="44"/>
        <v>0</v>
      </c>
      <c r="H85" s="49">
        <f t="shared" si="44"/>
        <v>0</v>
      </c>
      <c r="I85" s="50">
        <f t="shared" si="44"/>
        <v>0</v>
      </c>
      <c r="J85" s="50">
        <f t="shared" si="44"/>
        <v>0</v>
      </c>
      <c r="K85" s="50">
        <f t="shared" si="44"/>
        <v>0</v>
      </c>
      <c r="L85" s="51">
        <f t="shared" si="44"/>
        <v>0</v>
      </c>
    </row>
    <row r="86" spans="1:14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4" x14ac:dyDescent="0.2">
      <c r="A87" s="9" t="s">
        <v>37</v>
      </c>
      <c r="B87" s="59" t="e">
        <f>SUM(C87:H87)</f>
        <v>#DIV/0!</v>
      </c>
      <c r="C87" s="203" t="e">
        <v>#DIV/0!</v>
      </c>
      <c r="D87" s="203" t="e">
        <v>#DIV/0!</v>
      </c>
      <c r="E87" s="203" t="e">
        <v>#DIV/0!</v>
      </c>
      <c r="F87" s="86" t="e">
        <f>F86+100-B86</f>
        <v>#DIV/0!</v>
      </c>
      <c r="G87" s="203" t="e">
        <v>#DIV/0!</v>
      </c>
      <c r="H87" s="203" t="e">
        <v>#DIV/0!</v>
      </c>
      <c r="I87" s="203" t="e">
        <v>#DIV/0!</v>
      </c>
      <c r="J87" s="204" t="e">
        <v>#DIV/0!</v>
      </c>
      <c r="K87" s="204" t="e">
        <v>#DIV/0!</v>
      </c>
      <c r="L87" s="203" t="e">
        <v>#DIV/0!</v>
      </c>
      <c r="M87" s="159"/>
    </row>
    <row r="88" spans="1:14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60"/>
      <c r="K88" s="6"/>
      <c r="L88" s="29"/>
    </row>
    <row r="89" spans="1:14" x14ac:dyDescent="0.2">
      <c r="A89" s="122" t="s">
        <v>23</v>
      </c>
      <c r="B89" s="122" t="s">
        <v>18</v>
      </c>
      <c r="C89" s="122" t="s">
        <v>4</v>
      </c>
      <c r="D89" s="122" t="s">
        <v>5</v>
      </c>
      <c r="E89" s="122" t="s">
        <v>6</v>
      </c>
      <c r="F89" s="122" t="s">
        <v>7</v>
      </c>
      <c r="G89" s="122" t="s">
        <v>8</v>
      </c>
      <c r="H89" s="122" t="s">
        <v>9</v>
      </c>
      <c r="I89" s="123" t="s">
        <v>24</v>
      </c>
      <c r="J89" s="124" t="s">
        <v>11</v>
      </c>
      <c r="K89" s="125" t="s">
        <v>12</v>
      </c>
      <c r="L89" s="126" t="s">
        <v>13</v>
      </c>
    </row>
    <row r="90" spans="1:14" x14ac:dyDescent="0.2">
      <c r="A90" s="26" t="s">
        <v>26</v>
      </c>
      <c r="B90" s="55">
        <f>B40*(100-B84)/100</f>
        <v>100</v>
      </c>
      <c r="C90" s="49" t="e">
        <f>C87/100*B90</f>
        <v>#DIV/0!</v>
      </c>
      <c r="D90" s="49" t="e">
        <f>D87/100*B90</f>
        <v>#DIV/0!</v>
      </c>
      <c r="E90" s="49" t="e">
        <f>E87/100*B90</f>
        <v>#DIV/0!</v>
      </c>
      <c r="F90" s="49" t="e">
        <f>F87/100*B90</f>
        <v>#DIV/0!</v>
      </c>
      <c r="G90" s="49" t="e">
        <f>G87/100*B90</f>
        <v>#DIV/0!</v>
      </c>
      <c r="H90" s="49" t="e">
        <f>H87/100*B90</f>
        <v>#DIV/0!</v>
      </c>
      <c r="I90" s="50" t="e">
        <f>I87/100*B90</f>
        <v>#DIV/0!</v>
      </c>
      <c r="J90" s="57" t="e">
        <f>J87/100*B90</f>
        <v>#DIV/0!</v>
      </c>
      <c r="K90" s="57" t="e">
        <f>K87/100*B90</f>
        <v>#DIV/0!</v>
      </c>
      <c r="L90" s="58" t="e">
        <f>L87/100*B90</f>
        <v>#DIV/0!</v>
      </c>
    </row>
    <row r="91" spans="1:14" x14ac:dyDescent="0.2">
      <c r="A91" s="99" t="str">
        <f>IF(A41="","",A41)</f>
        <v/>
      </c>
      <c r="B91" s="130" t="str">
        <f>IF(B41="","",B41)</f>
        <v/>
      </c>
      <c r="C91" s="49">
        <f t="shared" ref="C91:C99" si="45">C41/100*B91</f>
        <v>0</v>
      </c>
      <c r="D91" s="49">
        <f t="shared" ref="D91:D99" si="46">D41/100*B91</f>
        <v>0</v>
      </c>
      <c r="E91" s="49">
        <f t="shared" ref="E91:E99" si="47">E41/100*B91</f>
        <v>0</v>
      </c>
      <c r="F91" s="49">
        <f t="shared" ref="F91:F99" si="48">F41/100*B91</f>
        <v>0</v>
      </c>
      <c r="G91" s="49">
        <f t="shared" ref="G91:G99" si="49">G41/100*B91</f>
        <v>0</v>
      </c>
      <c r="H91" s="49">
        <f t="shared" ref="H91:H99" si="50">H41/100*B91</f>
        <v>0</v>
      </c>
      <c r="I91" s="50">
        <f t="shared" ref="I91:I99" si="51">I41/100*B91</f>
        <v>0</v>
      </c>
      <c r="J91" s="57">
        <f t="shared" ref="J91:J99" si="52">J41/100*B91</f>
        <v>0</v>
      </c>
      <c r="K91" s="57">
        <f t="shared" ref="K91:K99" si="53">K41/100*B91</f>
        <v>0</v>
      </c>
      <c r="L91" s="57">
        <f t="shared" ref="L91:L99" si="54">L41/100*B91</f>
        <v>0</v>
      </c>
    </row>
    <row r="92" spans="1:14" x14ac:dyDescent="0.2">
      <c r="A92" s="99" t="str">
        <f t="shared" ref="A92:B92" si="55">IF(A42="","",A42)</f>
        <v/>
      </c>
      <c r="B92" s="130" t="str">
        <f t="shared" si="55"/>
        <v/>
      </c>
      <c r="C92" s="49">
        <f t="shared" si="45"/>
        <v>0</v>
      </c>
      <c r="D92" s="49">
        <f t="shared" si="46"/>
        <v>0</v>
      </c>
      <c r="E92" s="49">
        <f t="shared" si="47"/>
        <v>0</v>
      </c>
      <c r="F92" s="49">
        <f t="shared" si="48"/>
        <v>0</v>
      </c>
      <c r="G92" s="49">
        <f t="shared" si="49"/>
        <v>0</v>
      </c>
      <c r="H92" s="49">
        <f t="shared" si="50"/>
        <v>0</v>
      </c>
      <c r="I92" s="50">
        <f t="shared" si="51"/>
        <v>0</v>
      </c>
      <c r="J92" s="57">
        <f t="shared" si="52"/>
        <v>0</v>
      </c>
      <c r="K92" s="57">
        <f t="shared" si="53"/>
        <v>0</v>
      </c>
      <c r="L92" s="57">
        <f t="shared" si="54"/>
        <v>0</v>
      </c>
    </row>
    <row r="93" spans="1:14" x14ac:dyDescent="0.2">
      <c r="A93" s="99" t="str">
        <f t="shared" ref="A93:B93" si="56">IF(A43="","",A43)</f>
        <v/>
      </c>
      <c r="B93" s="130" t="str">
        <f t="shared" si="56"/>
        <v/>
      </c>
      <c r="C93" s="49">
        <f t="shared" si="45"/>
        <v>0</v>
      </c>
      <c r="D93" s="49">
        <f t="shared" si="46"/>
        <v>0</v>
      </c>
      <c r="E93" s="49">
        <f t="shared" si="47"/>
        <v>0</v>
      </c>
      <c r="F93" s="49">
        <f t="shared" si="48"/>
        <v>0</v>
      </c>
      <c r="G93" s="49">
        <f t="shared" si="49"/>
        <v>0</v>
      </c>
      <c r="H93" s="49">
        <f t="shared" si="50"/>
        <v>0</v>
      </c>
      <c r="I93" s="50">
        <f t="shared" si="51"/>
        <v>0</v>
      </c>
      <c r="J93" s="57">
        <f t="shared" si="52"/>
        <v>0</v>
      </c>
      <c r="K93" s="57">
        <f t="shared" si="53"/>
        <v>0</v>
      </c>
      <c r="L93" s="57">
        <f t="shared" si="54"/>
        <v>0</v>
      </c>
    </row>
    <row r="94" spans="1:14" x14ac:dyDescent="0.2">
      <c r="A94" s="99" t="str">
        <f t="shared" ref="A94:B94" si="57">IF(A44="","",A44)</f>
        <v/>
      </c>
      <c r="B94" s="130" t="str">
        <f t="shared" si="57"/>
        <v/>
      </c>
      <c r="C94" s="49">
        <f t="shared" si="45"/>
        <v>0</v>
      </c>
      <c r="D94" s="49">
        <f t="shared" si="46"/>
        <v>0</v>
      </c>
      <c r="E94" s="49">
        <f t="shared" si="47"/>
        <v>0</v>
      </c>
      <c r="F94" s="49">
        <f t="shared" si="48"/>
        <v>0</v>
      </c>
      <c r="G94" s="49">
        <f t="shared" si="49"/>
        <v>0</v>
      </c>
      <c r="H94" s="49">
        <f t="shared" si="50"/>
        <v>0</v>
      </c>
      <c r="I94" s="50">
        <f t="shared" si="51"/>
        <v>0</v>
      </c>
      <c r="J94" s="57">
        <f t="shared" si="52"/>
        <v>0</v>
      </c>
      <c r="K94" s="57">
        <f t="shared" si="53"/>
        <v>0</v>
      </c>
      <c r="L94" s="57">
        <f t="shared" si="54"/>
        <v>0</v>
      </c>
    </row>
    <row r="95" spans="1:14" x14ac:dyDescent="0.2">
      <c r="A95" s="99" t="str">
        <f t="shared" ref="A95:B95" si="58">IF(A45="","",A45)</f>
        <v/>
      </c>
      <c r="B95" s="130" t="str">
        <f t="shared" si="58"/>
        <v/>
      </c>
      <c r="C95" s="49">
        <f t="shared" si="45"/>
        <v>0</v>
      </c>
      <c r="D95" s="49">
        <f t="shared" si="46"/>
        <v>0</v>
      </c>
      <c r="E95" s="49">
        <f t="shared" si="47"/>
        <v>0</v>
      </c>
      <c r="F95" s="49">
        <f t="shared" si="48"/>
        <v>0</v>
      </c>
      <c r="G95" s="49">
        <f t="shared" si="49"/>
        <v>0</v>
      </c>
      <c r="H95" s="49">
        <f t="shared" si="50"/>
        <v>0</v>
      </c>
      <c r="I95" s="50">
        <f t="shared" si="51"/>
        <v>0</v>
      </c>
      <c r="J95" s="57">
        <f t="shared" si="52"/>
        <v>0</v>
      </c>
      <c r="K95" s="57">
        <f t="shared" si="53"/>
        <v>0</v>
      </c>
      <c r="L95" s="57">
        <f t="shared" si="54"/>
        <v>0</v>
      </c>
    </row>
    <row r="96" spans="1:14" x14ac:dyDescent="0.2">
      <c r="A96" s="99" t="str">
        <f t="shared" ref="A96:B96" si="59">IF(A46="","",A46)</f>
        <v/>
      </c>
      <c r="B96" s="130" t="str">
        <f t="shared" si="59"/>
        <v/>
      </c>
      <c r="C96" s="49">
        <f t="shared" si="45"/>
        <v>0</v>
      </c>
      <c r="D96" s="49">
        <f t="shared" si="46"/>
        <v>0</v>
      </c>
      <c r="E96" s="49">
        <f t="shared" si="47"/>
        <v>0</v>
      </c>
      <c r="F96" s="49">
        <f t="shared" si="48"/>
        <v>0</v>
      </c>
      <c r="G96" s="49">
        <f t="shared" si="49"/>
        <v>0</v>
      </c>
      <c r="H96" s="49">
        <f t="shared" si="50"/>
        <v>0</v>
      </c>
      <c r="I96" s="50">
        <f t="shared" si="51"/>
        <v>0</v>
      </c>
      <c r="J96" s="57">
        <f t="shared" si="52"/>
        <v>0</v>
      </c>
      <c r="K96" s="57">
        <f t="shared" si="53"/>
        <v>0</v>
      </c>
      <c r="L96" s="57">
        <f t="shared" si="54"/>
        <v>0</v>
      </c>
    </row>
    <row r="97" spans="1:13" x14ac:dyDescent="0.2">
      <c r="A97" s="99" t="str">
        <f t="shared" ref="A97:B97" si="60">IF(A47="","",A47)</f>
        <v/>
      </c>
      <c r="B97" s="130" t="str">
        <f t="shared" si="60"/>
        <v/>
      </c>
      <c r="C97" s="49">
        <f t="shared" si="45"/>
        <v>0</v>
      </c>
      <c r="D97" s="49">
        <f t="shared" si="46"/>
        <v>0</v>
      </c>
      <c r="E97" s="49">
        <f t="shared" si="47"/>
        <v>0</v>
      </c>
      <c r="F97" s="49">
        <f t="shared" si="48"/>
        <v>0</v>
      </c>
      <c r="G97" s="49">
        <f t="shared" si="49"/>
        <v>0</v>
      </c>
      <c r="H97" s="49">
        <f t="shared" si="50"/>
        <v>0</v>
      </c>
      <c r="I97" s="50">
        <f t="shared" si="51"/>
        <v>0</v>
      </c>
      <c r="J97" s="57">
        <f t="shared" si="52"/>
        <v>0</v>
      </c>
      <c r="K97" s="57">
        <f t="shared" si="53"/>
        <v>0</v>
      </c>
      <c r="L97" s="57">
        <f t="shared" si="54"/>
        <v>0</v>
      </c>
    </row>
    <row r="98" spans="1:13" x14ac:dyDescent="0.2">
      <c r="A98" s="99" t="str">
        <f t="shared" ref="A98:B98" si="61">IF(A48="","",A48)</f>
        <v/>
      </c>
      <c r="B98" s="130" t="str">
        <f t="shared" si="61"/>
        <v/>
      </c>
      <c r="C98" s="49">
        <f t="shared" si="45"/>
        <v>0</v>
      </c>
      <c r="D98" s="49">
        <f t="shared" si="46"/>
        <v>0</v>
      </c>
      <c r="E98" s="49">
        <f t="shared" si="47"/>
        <v>0</v>
      </c>
      <c r="F98" s="49">
        <f t="shared" si="48"/>
        <v>0</v>
      </c>
      <c r="G98" s="49">
        <f t="shared" si="49"/>
        <v>0</v>
      </c>
      <c r="H98" s="49">
        <f t="shared" si="50"/>
        <v>0</v>
      </c>
      <c r="I98" s="50">
        <f t="shared" si="51"/>
        <v>0</v>
      </c>
      <c r="J98" s="57">
        <f t="shared" si="52"/>
        <v>0</v>
      </c>
      <c r="K98" s="57">
        <f t="shared" si="53"/>
        <v>0</v>
      </c>
      <c r="L98" s="57">
        <f t="shared" si="54"/>
        <v>0</v>
      </c>
    </row>
    <row r="99" spans="1:13" x14ac:dyDescent="0.2">
      <c r="A99" s="99" t="str">
        <f t="shared" ref="A99:B99" si="62">IF(A49="","",A49)</f>
        <v/>
      </c>
      <c r="B99" s="130" t="str">
        <f t="shared" si="62"/>
        <v/>
      </c>
      <c r="C99" s="49">
        <f t="shared" si="45"/>
        <v>0</v>
      </c>
      <c r="D99" s="49">
        <f t="shared" si="46"/>
        <v>0</v>
      </c>
      <c r="E99" s="49">
        <f t="shared" si="47"/>
        <v>0</v>
      </c>
      <c r="F99" s="49">
        <f t="shared" si="48"/>
        <v>0</v>
      </c>
      <c r="G99" s="49">
        <f t="shared" si="49"/>
        <v>0</v>
      </c>
      <c r="H99" s="49">
        <f t="shared" si="50"/>
        <v>0</v>
      </c>
      <c r="I99" s="50">
        <f t="shared" si="51"/>
        <v>0</v>
      </c>
      <c r="J99" s="57">
        <f t="shared" si="52"/>
        <v>0</v>
      </c>
      <c r="K99" s="57">
        <f t="shared" si="53"/>
        <v>0</v>
      </c>
      <c r="L99" s="57">
        <f t="shared" si="54"/>
        <v>0</v>
      </c>
    </row>
    <row r="100" spans="1:13" x14ac:dyDescent="0.2">
      <c r="A100" s="9" t="s">
        <v>33</v>
      </c>
      <c r="B100" s="55">
        <f t="shared" ref="B100:L100" si="63">SUM(B90:B99)</f>
        <v>100</v>
      </c>
      <c r="C100" s="49" t="e">
        <f>SUM(C90:C99)</f>
        <v>#DIV/0!</v>
      </c>
      <c r="D100" s="49" t="e">
        <f t="shared" si="63"/>
        <v>#DIV/0!</v>
      </c>
      <c r="E100" s="49" t="e">
        <f t="shared" si="63"/>
        <v>#DIV/0!</v>
      </c>
      <c r="F100" s="49" t="e">
        <f t="shared" si="63"/>
        <v>#DIV/0!</v>
      </c>
      <c r="G100" s="49" t="e">
        <f t="shared" si="63"/>
        <v>#DIV/0!</v>
      </c>
      <c r="H100" s="49" t="e">
        <f t="shared" si="63"/>
        <v>#DIV/0!</v>
      </c>
      <c r="I100" s="50" t="e">
        <f t="shared" si="63"/>
        <v>#DIV/0!</v>
      </c>
      <c r="J100" s="50" t="e">
        <f t="shared" si="63"/>
        <v>#DIV/0!</v>
      </c>
      <c r="K100" s="50" t="e">
        <f t="shared" si="63"/>
        <v>#DIV/0!</v>
      </c>
      <c r="L100" s="50" t="e">
        <f t="shared" si="63"/>
        <v>#DIV/0!</v>
      </c>
    </row>
    <row r="101" spans="1:13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3" x14ac:dyDescent="0.2">
      <c r="A102" s="9" t="s">
        <v>35</v>
      </c>
      <c r="B102" s="55">
        <f>B100-B100*B101/100</f>
        <v>100</v>
      </c>
      <c r="C102" s="49" t="e">
        <f>C100-B100*B101/100</f>
        <v>#DIV/0!</v>
      </c>
      <c r="D102" s="49" t="e">
        <f t="shared" ref="D102:L102" si="64">SUM(D90:D99)</f>
        <v>#DIV/0!</v>
      </c>
      <c r="E102" s="49" t="e">
        <f t="shared" si="64"/>
        <v>#DIV/0!</v>
      </c>
      <c r="F102" s="49" t="e">
        <f t="shared" si="64"/>
        <v>#DIV/0!</v>
      </c>
      <c r="G102" s="49" t="e">
        <f t="shared" si="64"/>
        <v>#DIV/0!</v>
      </c>
      <c r="H102" s="49" t="e">
        <f t="shared" si="64"/>
        <v>#DIV/0!</v>
      </c>
      <c r="I102" s="50" t="e">
        <f t="shared" si="64"/>
        <v>#DIV/0!</v>
      </c>
      <c r="J102" s="61" t="e">
        <f t="shared" si="64"/>
        <v>#DIV/0!</v>
      </c>
      <c r="K102" s="61" t="e">
        <f t="shared" si="64"/>
        <v>#DIV/0!</v>
      </c>
      <c r="L102" s="58" t="e">
        <f t="shared" si="64"/>
        <v>#DIV/0!</v>
      </c>
    </row>
    <row r="103" spans="1:13" ht="18" thickBot="1" x14ac:dyDescent="0.25">
      <c r="A103" s="62" t="s">
        <v>36</v>
      </c>
      <c r="B103" s="63" t="e">
        <f>SUM(C103:H103)</f>
        <v>#DIV/0!</v>
      </c>
      <c r="C103" s="63" t="e">
        <f>ROUND(+C102/B102*100,1)</f>
        <v>#DIV/0!</v>
      </c>
      <c r="D103" s="63" t="e">
        <f>ROUND(+D102/B102*100,1)</f>
        <v>#DIV/0!</v>
      </c>
      <c r="E103" s="63" t="e">
        <f>ROUND(+E102/B102*100,1)</f>
        <v>#DIV/0!</v>
      </c>
      <c r="F103" s="63" t="e">
        <f>ROUND(+F102/B102*100,1)</f>
        <v>#DIV/0!</v>
      </c>
      <c r="G103" s="63" t="e">
        <f>ROUND(+G102/B102*100,1)</f>
        <v>#DIV/0!</v>
      </c>
      <c r="H103" s="63" t="e">
        <f>ROUND(+H102/B102*100,1)</f>
        <v>#DIV/0!</v>
      </c>
      <c r="I103" s="93" t="e">
        <f>ROUND(+I102/B102*100,0)</f>
        <v>#DIV/0!</v>
      </c>
      <c r="J103" s="92" t="e">
        <f>ROUND(+J102/B102*100,2)</f>
        <v>#DIV/0!</v>
      </c>
      <c r="K103" s="92" t="e">
        <f>ROUND(+K102/B102*100,2)</f>
        <v>#DIV/0!</v>
      </c>
      <c r="L103" s="94" t="e">
        <f>ROUND(+L102/B102*100,0)</f>
        <v>#DIV/0!</v>
      </c>
    </row>
    <row r="104" spans="1:13" ht="18.75" thickTop="1" thickBot="1" x14ac:dyDescent="0.25">
      <c r="A104" s="64" t="s">
        <v>37</v>
      </c>
      <c r="B104" s="65" t="e">
        <f>SUM(C104:H104)</f>
        <v>#DIV/0!</v>
      </c>
      <c r="C104" s="205">
        <v>0</v>
      </c>
      <c r="D104" s="205">
        <v>0</v>
      </c>
      <c r="E104" s="205">
        <v>0</v>
      </c>
      <c r="F104" s="66" t="e">
        <f>F103+100-B103</f>
        <v>#DIV/0!</v>
      </c>
      <c r="G104" s="205">
        <v>0</v>
      </c>
      <c r="H104" s="205">
        <v>0</v>
      </c>
      <c r="I104" s="206">
        <v>0</v>
      </c>
      <c r="J104" s="207">
        <v>0</v>
      </c>
      <c r="K104" s="207">
        <v>0</v>
      </c>
      <c r="L104" s="208">
        <v>0</v>
      </c>
      <c r="M104" s="159"/>
    </row>
    <row r="105" spans="1:13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3" ht="25.5" thickTop="1" thickBot="1" x14ac:dyDescent="0.3">
      <c r="A106" s="131" t="s">
        <v>67</v>
      </c>
      <c r="B106" s="133"/>
      <c r="C106" s="136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7" t="str">
        <f>IF(COUNTIF($A$6,"*ﾍﾞｲｼｱ*"),"食塩相当量は小数点1桁にする！AK列も「1」に変更すること！！","")</f>
        <v/>
      </c>
      <c r="H106" s="162" t="s">
        <v>95</v>
      </c>
      <c r="I106" s="163">
        <v>115</v>
      </c>
      <c r="J106" s="69"/>
      <c r="K106" s="69"/>
      <c r="L106" s="8"/>
    </row>
    <row r="107" spans="1:13" ht="18.75" thickBot="1" x14ac:dyDescent="0.25">
      <c r="A107" s="2"/>
      <c r="B107" s="2"/>
      <c r="C107" s="2"/>
      <c r="D107" s="2"/>
      <c r="E107" s="73"/>
      <c r="F107" s="74"/>
      <c r="G107" s="2"/>
      <c r="H107" s="164" t="s">
        <v>96</v>
      </c>
      <c r="I107" s="165">
        <v>103</v>
      </c>
      <c r="J107" s="2"/>
      <c r="K107" s="2"/>
      <c r="L107" s="3"/>
    </row>
    <row r="108" spans="1:13" ht="18.75" thickBot="1" x14ac:dyDescent="0.25">
      <c r="A108" s="75" t="s">
        <v>39</v>
      </c>
      <c r="B108" s="76"/>
      <c r="C108" s="77" t="e">
        <f>ROUND(+D104*4+E104*9+F104*4+G104*2,0)</f>
        <v>#DIV/0!</v>
      </c>
      <c r="D108" s="75" t="s">
        <v>40</v>
      </c>
      <c r="E108" s="78"/>
      <c r="F108" s="73"/>
      <c r="G108" s="2"/>
      <c r="H108" s="166" t="s">
        <v>97</v>
      </c>
      <c r="I108" s="167">
        <v>10.5</v>
      </c>
      <c r="J108" s="2"/>
      <c r="K108" s="2"/>
      <c r="L108" s="3"/>
    </row>
    <row r="109" spans="1:13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3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3" x14ac:dyDescent="0.2">
      <c r="A111" s="2"/>
      <c r="B111" s="79"/>
      <c r="C111" s="102" t="s">
        <v>44</v>
      </c>
      <c r="D111" s="79"/>
      <c r="E111" s="79" t="str">
        <f>AG12</f>
        <v>1個当たり</v>
      </c>
      <c r="F111" s="79"/>
      <c r="G111" s="79"/>
      <c r="H111" s="79"/>
      <c r="I111" s="79"/>
      <c r="J111" s="79"/>
      <c r="K111" s="79"/>
      <c r="L111" s="3"/>
    </row>
    <row r="112" spans="1:13" x14ac:dyDescent="0.2">
      <c r="A112" s="2"/>
      <c r="B112" s="79"/>
      <c r="C112" s="103" t="s">
        <v>45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46</v>
      </c>
      <c r="J112" s="103" t="s">
        <v>47</v>
      </c>
      <c r="K112" s="103" t="s">
        <v>88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54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48</v>
      </c>
      <c r="D114" s="111" t="s">
        <v>49</v>
      </c>
      <c r="E114" s="111" t="s">
        <v>49</v>
      </c>
      <c r="F114" s="112" t="s">
        <v>49</v>
      </c>
      <c r="G114" s="111" t="s">
        <v>49</v>
      </c>
      <c r="H114" s="112" t="s">
        <v>49</v>
      </c>
      <c r="I114" s="111" t="s">
        <v>49</v>
      </c>
      <c r="J114" s="113" t="s">
        <v>50</v>
      </c>
      <c r="K114" s="155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76</v>
      </c>
    </row>
    <row r="118" spans="1:25" ht="18" thickBot="1" x14ac:dyDescent="0.25">
      <c r="A118" s="90"/>
      <c r="B118" s="140"/>
      <c r="C118" s="185" t="str">
        <f>"1"&amp;$G$6&amp;""</f>
        <v>1個</v>
      </c>
      <c r="D118" s="185"/>
      <c r="E118" s="185"/>
      <c r="F118" s="185"/>
      <c r="G118" s="185"/>
      <c r="H118" s="185"/>
      <c r="I118" s="186"/>
      <c r="J118" s="185"/>
      <c r="K118" s="185"/>
      <c r="L118" s="185"/>
      <c r="M118" s="187" t="s">
        <v>77</v>
      </c>
      <c r="N118" s="187"/>
      <c r="O118" s="140"/>
    </row>
    <row r="119" spans="1:25" ht="18.75" thickTop="1" thickBot="1" x14ac:dyDescent="0.25">
      <c r="A119" s="114"/>
      <c r="B119" s="141"/>
      <c r="C119" s="188" t="s">
        <v>78</v>
      </c>
      <c r="D119" s="188"/>
      <c r="E119" s="188"/>
      <c r="F119" s="188"/>
      <c r="G119" s="188"/>
      <c r="H119" s="188"/>
      <c r="I119" s="189"/>
      <c r="J119" s="188"/>
      <c r="K119" s="190">
        <f>B106</f>
        <v>0</v>
      </c>
      <c r="L119" s="191"/>
      <c r="M119" s="191"/>
      <c r="N119" s="191"/>
      <c r="O119" s="140" t="s">
        <v>79</v>
      </c>
    </row>
    <row r="120" spans="1:25" ht="18.75" thickTop="1" thickBot="1" x14ac:dyDescent="0.25">
      <c r="A120" s="90"/>
      <c r="B120" s="142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4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</row>
    <row r="121" spans="1:25" x14ac:dyDescent="0.2">
      <c r="B121" s="146"/>
      <c r="C121" s="196" t="s">
        <v>45</v>
      </c>
      <c r="D121" s="196"/>
      <c r="E121" s="196"/>
      <c r="F121" s="196"/>
      <c r="G121" s="196"/>
      <c r="H121" s="197"/>
      <c r="I121" s="182" t="e">
        <f t="shared" ref="I121:I127" si="65">AG14</f>
        <v>#DIV/0!</v>
      </c>
      <c r="J121" s="183"/>
      <c r="K121" s="183"/>
      <c r="L121" s="184"/>
      <c r="M121" s="147" t="s">
        <v>48</v>
      </c>
      <c r="N121" s="148"/>
      <c r="O121" s="149"/>
      <c r="P121" s="145"/>
      <c r="Q121" s="145"/>
      <c r="R121" s="145"/>
    </row>
    <row r="122" spans="1:25" x14ac:dyDescent="0.2">
      <c r="B122" s="146"/>
      <c r="C122" s="201" t="s">
        <v>82</v>
      </c>
      <c r="D122" s="201"/>
      <c r="E122" s="201"/>
      <c r="F122" s="201"/>
      <c r="G122" s="201"/>
      <c r="H122" s="202"/>
      <c r="I122" s="171">
        <f t="shared" si="65"/>
        <v>0</v>
      </c>
      <c r="J122" s="172"/>
      <c r="K122" s="172"/>
      <c r="L122" s="173"/>
      <c r="M122" s="150" t="s">
        <v>59</v>
      </c>
      <c r="N122" s="151"/>
      <c r="O122" s="152"/>
      <c r="P122" s="145"/>
      <c r="Q122" s="145"/>
      <c r="R122" s="145"/>
    </row>
    <row r="123" spans="1:25" x14ac:dyDescent="0.2">
      <c r="B123" s="146"/>
      <c r="C123" s="201" t="s">
        <v>83</v>
      </c>
      <c r="D123" s="201"/>
      <c r="E123" s="201"/>
      <c r="F123" s="201"/>
      <c r="G123" s="201"/>
      <c r="H123" s="202"/>
      <c r="I123" s="171">
        <f t="shared" si="65"/>
        <v>0</v>
      </c>
      <c r="J123" s="172"/>
      <c r="K123" s="172"/>
      <c r="L123" s="173"/>
      <c r="M123" s="150" t="s">
        <v>59</v>
      </c>
      <c r="N123" s="151"/>
      <c r="O123" s="152"/>
      <c r="P123" s="145"/>
      <c r="Q123" s="145"/>
      <c r="R123" s="145"/>
    </row>
    <row r="124" spans="1:25" x14ac:dyDescent="0.2">
      <c r="B124" s="146"/>
      <c r="C124" s="201" t="s">
        <v>84</v>
      </c>
      <c r="D124" s="201"/>
      <c r="E124" s="201"/>
      <c r="F124" s="201"/>
      <c r="G124" s="201"/>
      <c r="H124" s="202"/>
      <c r="I124" s="171" t="e">
        <f t="shared" si="65"/>
        <v>#DIV/0!</v>
      </c>
      <c r="J124" s="172"/>
      <c r="K124" s="172"/>
      <c r="L124" s="173"/>
      <c r="M124" s="150" t="s">
        <v>80</v>
      </c>
      <c r="N124" s="151"/>
      <c r="O124" s="152"/>
      <c r="P124" s="145"/>
      <c r="Q124" s="145"/>
      <c r="R124" s="145"/>
    </row>
    <row r="125" spans="1:25" x14ac:dyDescent="0.2">
      <c r="B125" s="146"/>
      <c r="C125" s="201" t="s">
        <v>85</v>
      </c>
      <c r="D125" s="201"/>
      <c r="E125" s="201"/>
      <c r="F125" s="201"/>
      <c r="G125" s="201"/>
      <c r="H125" s="202"/>
      <c r="I125" s="171" t="e">
        <f t="shared" si="65"/>
        <v>#DIV/0!</v>
      </c>
      <c r="J125" s="172"/>
      <c r="K125" s="172"/>
      <c r="L125" s="173"/>
      <c r="M125" s="150" t="s">
        <v>59</v>
      </c>
      <c r="N125" s="151"/>
      <c r="O125" s="152"/>
      <c r="P125" s="145"/>
      <c r="Q125" s="145"/>
      <c r="R125" s="145"/>
    </row>
    <row r="126" spans="1:25" x14ac:dyDescent="0.2">
      <c r="B126" s="146"/>
      <c r="C126" s="201" t="s">
        <v>86</v>
      </c>
      <c r="D126" s="201"/>
      <c r="E126" s="201"/>
      <c r="F126" s="201"/>
      <c r="G126" s="201"/>
      <c r="H126" s="202"/>
      <c r="I126" s="171">
        <f t="shared" si="65"/>
        <v>0</v>
      </c>
      <c r="J126" s="172"/>
      <c r="K126" s="172"/>
      <c r="L126" s="173"/>
      <c r="M126" s="150" t="s">
        <v>59</v>
      </c>
      <c r="N126" s="151"/>
      <c r="O126" s="152"/>
      <c r="P126" s="145"/>
      <c r="Q126" s="145"/>
      <c r="R126" s="145"/>
    </row>
    <row r="127" spans="1:25" x14ac:dyDescent="0.2">
      <c r="B127" s="146"/>
      <c r="C127" s="201" t="s">
        <v>81</v>
      </c>
      <c r="D127" s="201"/>
      <c r="E127" s="201"/>
      <c r="F127" s="201"/>
      <c r="G127" s="201"/>
      <c r="H127" s="202"/>
      <c r="I127" s="168">
        <f t="shared" si="65"/>
        <v>0</v>
      </c>
      <c r="J127" s="169"/>
      <c r="K127" s="169"/>
      <c r="L127" s="170"/>
      <c r="M127" s="150" t="s">
        <v>59</v>
      </c>
      <c r="N127" s="151"/>
      <c r="O127" s="152"/>
      <c r="P127" s="145"/>
      <c r="Q127" s="145"/>
      <c r="R127" s="145"/>
    </row>
  </sheetData>
  <mergeCells count="29">
    <mergeCell ref="G4:H4"/>
    <mergeCell ref="C122:H122"/>
    <mergeCell ref="C123:H123"/>
    <mergeCell ref="C127:H127"/>
    <mergeCell ref="C125:H125"/>
    <mergeCell ref="C126:H126"/>
    <mergeCell ref="C124:H124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AB32:AC32"/>
    <mergeCell ref="AB33:AC33"/>
    <mergeCell ref="AB34:AC34"/>
    <mergeCell ref="I127:L127"/>
    <mergeCell ref="I122:L122"/>
    <mergeCell ref="I123:L123"/>
    <mergeCell ref="I124:L124"/>
    <mergeCell ref="I125:L125"/>
    <mergeCell ref="I126:L126"/>
  </mergeCells>
  <phoneticPr fontId="3"/>
  <conditionalFormatting sqref="AA1:AJ17 C111:J114 AA128:AJ1048576 AA20:AJ31 AB18:AJ19 AA35:AJ116 AA32:AB34 AD32:AJ34">
    <cfRule type="expression" dxfId="12" priority="16" stopIfTrue="1">
      <formula>$A$2="出力なし"</formula>
    </cfRule>
  </conditionalFormatting>
  <conditionalFormatting sqref="AA31:AJ31">
    <cfRule type="expression" dxfId="11" priority="30" stopIfTrue="1">
      <formula>NOT(AA31="この表示値は、目安です。")</formula>
    </cfRule>
  </conditionalFormatting>
  <conditionalFormatting sqref="AG12:AI12 E111">
    <cfRule type="expression" dxfId="10" priority="28" stopIfTrue="1">
      <formula>NOT(E12="1個当たり")</formula>
    </cfRule>
  </conditionalFormatting>
  <conditionalFormatting sqref="AG27">
    <cfRule type="expression" dxfId="9" priority="27" stopIfTrue="1">
      <formula>IF(AND(COUNTIF($A$6,"&lt;&gt;*様*"),$AE$27&lt;5),TRUE,FALSE)</formula>
    </cfRule>
  </conditionalFormatting>
  <conditionalFormatting sqref="AG26">
    <cfRule type="expression" dxfId="8" priority="26" stopIfTrue="1">
      <formula>IF(AND(COUNTIF($A$6,"&lt;&gt;*様*"),$AG$13&lt;100,$AE$26&lt;0.3),TRUE,FALSE)</formula>
    </cfRule>
  </conditionalFormatting>
  <conditionalFormatting sqref="AE23">
    <cfRule type="expression" dxfId="7" priority="25" stopIfTrue="1">
      <formula>IF(OR($A$4="蒸し物",$G$4="和生菓子"),IF($AE$23&lt;30,TRUE,FALSE),FALSE)</formula>
    </cfRule>
  </conditionalFormatting>
  <conditionalFormatting sqref="Z25">
    <cfRule type="expression" dxfId="6" priority="11" stopIfTrue="1">
      <formula>COUNTIF($Z$25,"*1")</formula>
    </cfRule>
  </conditionalFormatting>
  <conditionalFormatting sqref="Y26">
    <cfRule type="expression" dxfId="5" priority="10" stopIfTrue="1">
      <formula>COUNTIF($Y$26,"*3")</formula>
    </cfRule>
  </conditionalFormatting>
  <conditionalFormatting sqref="AA117:AJ127">
    <cfRule type="expression" dxfId="4" priority="5" stopIfTrue="1">
      <formula>$A$2="出力なし"</formula>
    </cfRule>
  </conditionalFormatting>
  <conditionalFormatting sqref="C117">
    <cfRule type="expression" dxfId="3" priority="4" stopIfTrue="1">
      <formula>$A$2="出力なし"</formula>
    </cfRule>
  </conditionalFormatting>
  <conditionalFormatting sqref="AO117:AX127">
    <cfRule type="expression" dxfId="2" priority="3" stopIfTrue="1">
      <formula>$A$2="出力なし"</formula>
    </cfRule>
  </conditionalFormatting>
  <conditionalFormatting sqref="AA18:AA19">
    <cfRule type="expression" dxfId="1" priority="2" stopIfTrue="1">
      <formula>$A$2="出力なし"</formula>
    </cfRule>
  </conditionalFormatting>
  <conditionalFormatting sqref="Z26">
    <cfRule type="expression" dxfId="0" priority="1">
      <formula>COUNTIF($Z$26,"*2")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r:id="rId5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38100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opy104">
          <controlPr defaultSize="0" autoLine="0" autoPict="0" r:id="rId7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38100</xdr:rowOff>
              </to>
            </anchor>
          </controlPr>
        </control>
      </mc:Choice>
      <mc:Fallback>
        <control shapeId="1027" r:id="rId6" name="cmdCopy104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47625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autoPict="0" r:id="rId11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47625</xdr:rowOff>
              </to>
            </anchor>
          </controlPr>
        </control>
      </mc:Choice>
      <mc:Fallback>
        <control shapeId="1025" r:id="rId10" name="cmdCopy87"/>
      </mc:Fallback>
    </mc:AlternateContent>
    <mc:AlternateContent xmlns:mc="http://schemas.openxmlformats.org/markup-compatibility/2006">
      <mc:Choice Requires="x14">
        <control shapeId="1029" r:id="rId12" name="cmdCopy">
          <controlPr defaultSize="0" print="0" autoLine="0" r:id="rId13">
            <anchor moveWithCells="1">
              <from>
                <xdr:col>41</xdr:col>
                <xdr:colOff>133350</xdr:colOff>
                <xdr:row>3</xdr:row>
                <xdr:rowOff>0</xdr:rowOff>
              </from>
              <to>
                <xdr:col>43</xdr:col>
                <xdr:colOff>419100</xdr:colOff>
                <xdr:row>5</xdr:row>
                <xdr:rowOff>0</xdr:rowOff>
              </to>
            </anchor>
          </controlPr>
        </control>
      </mc:Choice>
      <mc:Fallback>
        <control shapeId="1029" r:id="rId12" name="cmdCop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2026-05-18T05:08:18Z</dcterms:modified>
</cp:coreProperties>
</file>