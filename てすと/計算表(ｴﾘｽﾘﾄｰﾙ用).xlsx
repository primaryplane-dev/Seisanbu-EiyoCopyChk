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" windowWidth="22068" windowHeight="9264"/>
  </bookViews>
  <sheets>
    <sheet name="食物繊維＋ｴﾘｽﾘﾄｰﾙ＋その他" sheetId="1" r:id="rId1"/>
  </sheets>
  <definedNames>
    <definedName name="_xlnm.Print_Area" localSheetId="0">'食物繊維＋ｴﾘｽﾘﾄｰﾙ＋その他'!$AA$2:$AJ$44</definedName>
  </definedNames>
  <calcPr calcId="145621"/>
</workbook>
</file>

<file path=xl/calcChain.xml><?xml version="1.0" encoding="utf-8"?>
<calcChain xmlns="http://schemas.openxmlformats.org/spreadsheetml/2006/main">
  <c r="Z28" i="1" l="1"/>
  <c r="Z27" i="1"/>
  <c r="AE14" i="1" l="1"/>
  <c r="C108" i="1"/>
  <c r="C113" i="1"/>
  <c r="AG13" i="1" l="1"/>
  <c r="C106" i="1"/>
  <c r="B100" i="1"/>
  <c r="B102" i="1" s="1"/>
  <c r="M99" i="1"/>
  <c r="L99" i="1"/>
  <c r="K99" i="1"/>
  <c r="I99" i="1"/>
  <c r="H99" i="1"/>
  <c r="G99" i="1"/>
  <c r="E99" i="1"/>
  <c r="D99" i="1"/>
  <c r="C99" i="1"/>
  <c r="B99" i="1"/>
  <c r="J99" i="1" s="1"/>
  <c r="A99" i="1"/>
  <c r="N98" i="1"/>
  <c r="M98" i="1"/>
  <c r="K98" i="1"/>
  <c r="G98" i="1"/>
  <c r="F98" i="1"/>
  <c r="E98" i="1"/>
  <c r="C98" i="1"/>
  <c r="B98" i="1"/>
  <c r="J98" i="1" s="1"/>
  <c r="A98" i="1"/>
  <c r="N97" i="1"/>
  <c r="M97" i="1"/>
  <c r="L97" i="1"/>
  <c r="K97" i="1"/>
  <c r="I97" i="1"/>
  <c r="H97" i="1"/>
  <c r="G97" i="1"/>
  <c r="F97" i="1"/>
  <c r="E97" i="1"/>
  <c r="D97" i="1"/>
  <c r="C97" i="1"/>
  <c r="B97" i="1"/>
  <c r="J97" i="1" s="1"/>
  <c r="A97" i="1"/>
  <c r="I96" i="1"/>
  <c r="G96" i="1"/>
  <c r="B96" i="1"/>
  <c r="N96" i="1" s="1"/>
  <c r="A96" i="1"/>
  <c r="M95" i="1"/>
  <c r="L95" i="1"/>
  <c r="K95" i="1"/>
  <c r="I95" i="1"/>
  <c r="H95" i="1"/>
  <c r="G95" i="1"/>
  <c r="E95" i="1"/>
  <c r="D95" i="1"/>
  <c r="C95" i="1"/>
  <c r="B95" i="1"/>
  <c r="J95" i="1" s="1"/>
  <c r="A95" i="1"/>
  <c r="N94" i="1"/>
  <c r="M94" i="1"/>
  <c r="K94" i="1"/>
  <c r="G94" i="1"/>
  <c r="F94" i="1"/>
  <c r="E94" i="1"/>
  <c r="C94" i="1"/>
  <c r="B94" i="1"/>
  <c r="J94" i="1" s="1"/>
  <c r="A94" i="1"/>
  <c r="N93" i="1"/>
  <c r="M93" i="1"/>
  <c r="L93" i="1"/>
  <c r="K93" i="1"/>
  <c r="I93" i="1"/>
  <c r="H93" i="1"/>
  <c r="G93" i="1"/>
  <c r="F93" i="1"/>
  <c r="E93" i="1"/>
  <c r="D93" i="1"/>
  <c r="C93" i="1"/>
  <c r="B93" i="1"/>
  <c r="J93" i="1" s="1"/>
  <c r="A93" i="1"/>
  <c r="J92" i="1"/>
  <c r="I92" i="1"/>
  <c r="B92" i="1"/>
  <c r="A92" i="1"/>
  <c r="M91" i="1"/>
  <c r="L91" i="1"/>
  <c r="K91" i="1"/>
  <c r="I91" i="1"/>
  <c r="H91" i="1"/>
  <c r="G91" i="1"/>
  <c r="E91" i="1"/>
  <c r="D91" i="1"/>
  <c r="C91" i="1"/>
  <c r="B91" i="1"/>
  <c r="J91" i="1" s="1"/>
  <c r="A91" i="1"/>
  <c r="N90" i="1"/>
  <c r="M90" i="1"/>
  <c r="K90" i="1"/>
  <c r="E90" i="1"/>
  <c r="C90" i="1"/>
  <c r="B90" i="1"/>
  <c r="J90" i="1" s="1"/>
  <c r="N89" i="1"/>
  <c r="M89" i="1"/>
  <c r="K82" i="1"/>
  <c r="B82" i="1"/>
  <c r="J82" i="1" s="1"/>
  <c r="A82" i="1"/>
  <c r="M81" i="1"/>
  <c r="L81" i="1"/>
  <c r="K81" i="1"/>
  <c r="I81" i="1"/>
  <c r="H81" i="1"/>
  <c r="G81" i="1"/>
  <c r="E81" i="1"/>
  <c r="D81" i="1"/>
  <c r="C81" i="1"/>
  <c r="B81" i="1"/>
  <c r="N81" i="1" s="1"/>
  <c r="A81" i="1"/>
  <c r="K80" i="1"/>
  <c r="J80" i="1"/>
  <c r="I80" i="1"/>
  <c r="F80" i="1"/>
  <c r="E80" i="1"/>
  <c r="B80" i="1"/>
  <c r="G80" i="1" s="1"/>
  <c r="A80" i="1"/>
  <c r="M79" i="1"/>
  <c r="L79" i="1"/>
  <c r="K79" i="1"/>
  <c r="I79" i="1"/>
  <c r="H79" i="1"/>
  <c r="G79" i="1"/>
  <c r="E79" i="1"/>
  <c r="D79" i="1"/>
  <c r="C79" i="1"/>
  <c r="B79" i="1"/>
  <c r="J79" i="1" s="1"/>
  <c r="A79" i="1"/>
  <c r="N78" i="1"/>
  <c r="G78" i="1"/>
  <c r="F78" i="1"/>
  <c r="C78" i="1"/>
  <c r="B78" i="1"/>
  <c r="K78" i="1" s="1"/>
  <c r="A78" i="1"/>
  <c r="M77" i="1"/>
  <c r="L77" i="1"/>
  <c r="K77" i="1"/>
  <c r="I77" i="1"/>
  <c r="H77" i="1"/>
  <c r="G77" i="1"/>
  <c r="E77" i="1"/>
  <c r="D77" i="1"/>
  <c r="C77" i="1"/>
  <c r="B77" i="1"/>
  <c r="N77" i="1" s="1"/>
  <c r="A77" i="1"/>
  <c r="N76" i="1"/>
  <c r="K76" i="1"/>
  <c r="J76" i="1"/>
  <c r="G76" i="1"/>
  <c r="F76" i="1"/>
  <c r="E76" i="1"/>
  <c r="C76" i="1"/>
  <c r="B76" i="1"/>
  <c r="A76" i="1"/>
  <c r="M75" i="1"/>
  <c r="L75" i="1"/>
  <c r="K75" i="1"/>
  <c r="I75" i="1"/>
  <c r="H75" i="1"/>
  <c r="G75" i="1"/>
  <c r="E75" i="1"/>
  <c r="D75" i="1"/>
  <c r="C75" i="1"/>
  <c r="B75" i="1"/>
  <c r="J75" i="1" s="1"/>
  <c r="A75" i="1"/>
  <c r="K74" i="1"/>
  <c r="B74" i="1"/>
  <c r="J74" i="1" s="1"/>
  <c r="A74" i="1"/>
  <c r="M73" i="1"/>
  <c r="L73" i="1"/>
  <c r="K73" i="1"/>
  <c r="I73" i="1"/>
  <c r="H73" i="1"/>
  <c r="G73" i="1"/>
  <c r="E73" i="1"/>
  <c r="D73" i="1"/>
  <c r="C73" i="1"/>
  <c r="B73" i="1"/>
  <c r="N73" i="1" s="1"/>
  <c r="A73" i="1"/>
  <c r="K72" i="1"/>
  <c r="J72" i="1"/>
  <c r="I72" i="1"/>
  <c r="F72" i="1"/>
  <c r="E72" i="1"/>
  <c r="B72" i="1"/>
  <c r="G72" i="1" s="1"/>
  <c r="A72" i="1"/>
  <c r="M71" i="1"/>
  <c r="L71" i="1"/>
  <c r="K71" i="1"/>
  <c r="I71" i="1"/>
  <c r="H71" i="1"/>
  <c r="G71" i="1"/>
  <c r="E71" i="1"/>
  <c r="D71" i="1"/>
  <c r="C71" i="1"/>
  <c r="B71" i="1"/>
  <c r="J71" i="1" s="1"/>
  <c r="A71" i="1"/>
  <c r="G70" i="1"/>
  <c r="F70" i="1"/>
  <c r="B70" i="1"/>
  <c r="K70" i="1" s="1"/>
  <c r="A70" i="1"/>
  <c r="N69" i="1"/>
  <c r="M69" i="1"/>
  <c r="L69" i="1"/>
  <c r="K69" i="1"/>
  <c r="I69" i="1"/>
  <c r="H69" i="1"/>
  <c r="G69" i="1"/>
  <c r="F69" i="1"/>
  <c r="E69" i="1"/>
  <c r="D69" i="1"/>
  <c r="C69" i="1"/>
  <c r="B69" i="1"/>
  <c r="J69" i="1" s="1"/>
  <c r="A69" i="1"/>
  <c r="G68" i="1"/>
  <c r="F68" i="1"/>
  <c r="B68" i="1"/>
  <c r="K68" i="1" s="1"/>
  <c r="A68" i="1"/>
  <c r="M67" i="1"/>
  <c r="L67" i="1"/>
  <c r="K67" i="1"/>
  <c r="I67" i="1"/>
  <c r="H67" i="1"/>
  <c r="G67" i="1"/>
  <c r="E67" i="1"/>
  <c r="D67" i="1"/>
  <c r="C67" i="1"/>
  <c r="B67" i="1"/>
  <c r="J67" i="1" s="1"/>
  <c r="A67" i="1"/>
  <c r="N66" i="1"/>
  <c r="K66" i="1"/>
  <c r="J66" i="1"/>
  <c r="G66" i="1"/>
  <c r="F66" i="1"/>
  <c r="E66" i="1"/>
  <c r="C66" i="1"/>
  <c r="B66" i="1"/>
  <c r="A66" i="1"/>
  <c r="N65" i="1"/>
  <c r="M65" i="1"/>
  <c r="L65" i="1"/>
  <c r="K65" i="1"/>
  <c r="I65" i="1"/>
  <c r="H65" i="1"/>
  <c r="G65" i="1"/>
  <c r="F65" i="1"/>
  <c r="E65" i="1"/>
  <c r="D65" i="1"/>
  <c r="C65" i="1"/>
  <c r="B65" i="1"/>
  <c r="J65" i="1" s="1"/>
  <c r="A65" i="1"/>
  <c r="N64" i="1"/>
  <c r="K64" i="1"/>
  <c r="J64" i="1"/>
  <c r="G64" i="1"/>
  <c r="F64" i="1"/>
  <c r="E64" i="1"/>
  <c r="C64" i="1"/>
  <c r="B64" i="1"/>
  <c r="A64" i="1"/>
  <c r="M63" i="1"/>
  <c r="L63" i="1"/>
  <c r="K63" i="1"/>
  <c r="I63" i="1"/>
  <c r="H63" i="1"/>
  <c r="G63" i="1"/>
  <c r="E63" i="1"/>
  <c r="D63" i="1"/>
  <c r="C63" i="1"/>
  <c r="B63" i="1"/>
  <c r="J63" i="1" s="1"/>
  <c r="A63" i="1"/>
  <c r="K62" i="1"/>
  <c r="B62" i="1"/>
  <c r="M62" i="1" s="1"/>
  <c r="A62" i="1"/>
  <c r="N61" i="1"/>
  <c r="M61" i="1"/>
  <c r="L61" i="1"/>
  <c r="K61" i="1"/>
  <c r="I61" i="1"/>
  <c r="H61" i="1"/>
  <c r="G61" i="1"/>
  <c r="F61" i="1"/>
  <c r="E61" i="1"/>
  <c r="D61" i="1"/>
  <c r="C61" i="1"/>
  <c r="B61" i="1"/>
  <c r="J61" i="1" s="1"/>
  <c r="A61" i="1"/>
  <c r="K60" i="1"/>
  <c r="B60" i="1"/>
  <c r="J60" i="1" s="1"/>
  <c r="A60" i="1"/>
  <c r="M59" i="1"/>
  <c r="L59" i="1"/>
  <c r="K59" i="1"/>
  <c r="I59" i="1"/>
  <c r="H59" i="1"/>
  <c r="G59" i="1"/>
  <c r="E59" i="1"/>
  <c r="D59" i="1"/>
  <c r="C59" i="1"/>
  <c r="B59" i="1"/>
  <c r="J59" i="1" s="1"/>
  <c r="A59" i="1"/>
  <c r="K58" i="1"/>
  <c r="J58" i="1"/>
  <c r="I58" i="1"/>
  <c r="F58" i="1"/>
  <c r="E58" i="1"/>
  <c r="B58" i="1"/>
  <c r="G58" i="1" s="1"/>
  <c r="A58" i="1"/>
  <c r="N57" i="1"/>
  <c r="M57" i="1"/>
  <c r="L57" i="1"/>
  <c r="K57" i="1"/>
  <c r="I57" i="1"/>
  <c r="H57" i="1"/>
  <c r="G57" i="1"/>
  <c r="F57" i="1"/>
  <c r="E57" i="1"/>
  <c r="D57" i="1"/>
  <c r="C57" i="1"/>
  <c r="B57" i="1"/>
  <c r="J57" i="1" s="1"/>
  <c r="A57" i="1"/>
  <c r="K56" i="1"/>
  <c r="J56" i="1"/>
  <c r="I56" i="1"/>
  <c r="F56" i="1"/>
  <c r="E56" i="1"/>
  <c r="B56" i="1"/>
  <c r="G56" i="1" s="1"/>
  <c r="A56" i="1"/>
  <c r="M55" i="1"/>
  <c r="L55" i="1"/>
  <c r="K55" i="1"/>
  <c r="I55" i="1"/>
  <c r="H55" i="1"/>
  <c r="G55" i="1"/>
  <c r="E55" i="1"/>
  <c r="D55" i="1"/>
  <c r="C55" i="1"/>
  <c r="B55" i="1"/>
  <c r="J55" i="1" s="1"/>
  <c r="A55" i="1"/>
  <c r="G54" i="1"/>
  <c r="F54" i="1"/>
  <c r="B54" i="1"/>
  <c r="K54" i="1" s="1"/>
  <c r="A54" i="1"/>
  <c r="N53" i="1"/>
  <c r="M53" i="1"/>
  <c r="L53" i="1"/>
  <c r="K53" i="1"/>
  <c r="I53" i="1"/>
  <c r="H53" i="1"/>
  <c r="G53" i="1"/>
  <c r="F53" i="1"/>
  <c r="E53" i="1"/>
  <c r="D53" i="1"/>
  <c r="C53" i="1"/>
  <c r="B53" i="1"/>
  <c r="J53" i="1" s="1"/>
  <c r="A53" i="1"/>
  <c r="N52" i="1"/>
  <c r="M52" i="1"/>
  <c r="O49" i="1"/>
  <c r="O48" i="1"/>
  <c r="O47" i="1"/>
  <c r="O46" i="1"/>
  <c r="O45" i="1"/>
  <c r="O44" i="1"/>
  <c r="O43" i="1"/>
  <c r="O42" i="1"/>
  <c r="O41" i="1"/>
  <c r="AA40" i="1"/>
  <c r="O40" i="1"/>
  <c r="AA39" i="1"/>
  <c r="N39" i="1"/>
  <c r="M39" i="1"/>
  <c r="AA38" i="1"/>
  <c r="AE37" i="1"/>
  <c r="O37" i="1"/>
  <c r="O36" i="1"/>
  <c r="O35" i="1"/>
  <c r="O34" i="1"/>
  <c r="O33" i="1"/>
  <c r="O32" i="1"/>
  <c r="O31" i="1"/>
  <c r="O30" i="1"/>
  <c r="AE29" i="1"/>
  <c r="J113" i="1" s="1"/>
  <c r="O29" i="1"/>
  <c r="AE28" i="1"/>
  <c r="O28" i="1"/>
  <c r="AE27" i="1"/>
  <c r="O27" i="1"/>
  <c r="AE26" i="1"/>
  <c r="O26" i="1"/>
  <c r="AE25" i="1"/>
  <c r="O25" i="1"/>
  <c r="AE24" i="1"/>
  <c r="AK20" i="1" s="1"/>
  <c r="O24" i="1"/>
  <c r="O23" i="1"/>
  <c r="AE22" i="1"/>
  <c r="AA22" i="1"/>
  <c r="O22" i="1"/>
  <c r="AE21" i="1"/>
  <c r="AA21" i="1"/>
  <c r="O21" i="1"/>
  <c r="AG20" i="1"/>
  <c r="G113" i="1" s="1"/>
  <c r="AE20" i="1"/>
  <c r="O20" i="1"/>
  <c r="AE19" i="1"/>
  <c r="O19" i="1"/>
  <c r="O18" i="1"/>
  <c r="O17" i="1"/>
  <c r="AE16" i="1"/>
  <c r="O16" i="1"/>
  <c r="AE15" i="1"/>
  <c r="O15" i="1"/>
  <c r="AA14" i="1"/>
  <c r="O14" i="1"/>
  <c r="AG28" i="1"/>
  <c r="O13" i="1"/>
  <c r="AG12" i="1"/>
  <c r="O12" i="1"/>
  <c r="O11" i="1"/>
  <c r="O10" i="1"/>
  <c r="O9" i="1"/>
  <c r="O8" i="1"/>
  <c r="AB7" i="1"/>
  <c r="AI5" i="1"/>
  <c r="D83" i="1" l="1"/>
  <c r="AG25" i="1"/>
  <c r="C54" i="1"/>
  <c r="N54" i="1"/>
  <c r="I60" i="1"/>
  <c r="I62" i="1"/>
  <c r="C68" i="1"/>
  <c r="N68" i="1"/>
  <c r="C70" i="1"/>
  <c r="N70" i="1"/>
  <c r="I74" i="1"/>
  <c r="I82" i="1"/>
  <c r="E54" i="1"/>
  <c r="J62" i="1"/>
  <c r="L64" i="1"/>
  <c r="D64" i="1"/>
  <c r="H64" i="1"/>
  <c r="M64" i="1"/>
  <c r="H66" i="1"/>
  <c r="L66" i="1"/>
  <c r="D66" i="1"/>
  <c r="M66" i="1"/>
  <c r="E68" i="1"/>
  <c r="E70" i="1"/>
  <c r="L76" i="1"/>
  <c r="D76" i="1"/>
  <c r="H76" i="1"/>
  <c r="M76" i="1"/>
  <c r="E78" i="1"/>
  <c r="I113" i="1"/>
  <c r="AG22" i="1"/>
  <c r="AG15" i="1"/>
  <c r="AG24" i="1"/>
  <c r="AG21" i="1"/>
  <c r="AG19" i="1"/>
  <c r="K83" i="1"/>
  <c r="L60" i="1"/>
  <c r="D60" i="1"/>
  <c r="H60" i="1"/>
  <c r="M60" i="1"/>
  <c r="H74" i="1"/>
  <c r="L74" i="1"/>
  <c r="D74" i="1"/>
  <c r="H82" i="1"/>
  <c r="L82" i="1"/>
  <c r="D82" i="1"/>
  <c r="J83" i="1"/>
  <c r="N82" i="1"/>
  <c r="H62" i="1"/>
  <c r="L62" i="1"/>
  <c r="D62" i="1"/>
  <c r="M74" i="1"/>
  <c r="M82" i="1"/>
  <c r="AG29" i="1"/>
  <c r="N60" i="1"/>
  <c r="C62" i="1"/>
  <c r="I70" i="1"/>
  <c r="C74" i="1"/>
  <c r="C82" i="1"/>
  <c r="J54" i="1"/>
  <c r="J85" i="1" s="1"/>
  <c r="J86" i="1" s="1"/>
  <c r="L56" i="1"/>
  <c r="L83" i="1" s="1"/>
  <c r="D56" i="1"/>
  <c r="H56" i="1"/>
  <c r="M56" i="1"/>
  <c r="H58" i="1"/>
  <c r="L58" i="1"/>
  <c r="D58" i="1"/>
  <c r="M58" i="1"/>
  <c r="E60" i="1"/>
  <c r="E85" i="1" s="1"/>
  <c r="E86" i="1" s="1"/>
  <c r="E62" i="1"/>
  <c r="J68" i="1"/>
  <c r="J70" i="1"/>
  <c r="L72" i="1"/>
  <c r="D72" i="1"/>
  <c r="H72" i="1"/>
  <c r="M72" i="1"/>
  <c r="E74" i="1"/>
  <c r="J78" i="1"/>
  <c r="L80" i="1"/>
  <c r="D80" i="1"/>
  <c r="H80" i="1"/>
  <c r="M80" i="1"/>
  <c r="E82" i="1"/>
  <c r="B83" i="1"/>
  <c r="B85" i="1" s="1"/>
  <c r="M83" i="1"/>
  <c r="K85" i="1"/>
  <c r="AG26" i="1"/>
  <c r="C83" i="1"/>
  <c r="C85" i="1" s="1"/>
  <c r="C86" i="1" s="1"/>
  <c r="B86" i="1" s="1"/>
  <c r="I54" i="1"/>
  <c r="C60" i="1"/>
  <c r="N62" i="1"/>
  <c r="I68" i="1"/>
  <c r="N74" i="1"/>
  <c r="I78" i="1"/>
  <c r="AG27" i="1"/>
  <c r="C56" i="1"/>
  <c r="N56" i="1"/>
  <c r="N85" i="1" s="1"/>
  <c r="N86" i="1" s="1"/>
  <c r="C58" i="1"/>
  <c r="N58" i="1"/>
  <c r="F60" i="1"/>
  <c r="F62" i="1"/>
  <c r="I64" i="1"/>
  <c r="I66" i="1"/>
  <c r="C72" i="1"/>
  <c r="N72" i="1"/>
  <c r="F74" i="1"/>
  <c r="I76" i="1"/>
  <c r="C80" i="1"/>
  <c r="N80" i="1"/>
  <c r="F82" i="1"/>
  <c r="N92" i="1"/>
  <c r="F92" i="1"/>
  <c r="M92" i="1"/>
  <c r="M102" i="1" s="1"/>
  <c r="M103" i="1" s="1"/>
  <c r="E92" i="1"/>
  <c r="E100" i="1" s="1"/>
  <c r="L92" i="1"/>
  <c r="D92" i="1"/>
  <c r="C92" i="1"/>
  <c r="C100" i="1" s="1"/>
  <c r="C102" i="1" s="1"/>
  <c r="C103" i="1" s="1"/>
  <c r="K92" i="1"/>
  <c r="K100" i="1" s="1"/>
  <c r="H92" i="1"/>
  <c r="AG16" i="1"/>
  <c r="E113" i="1" s="1"/>
  <c r="H54" i="1"/>
  <c r="H83" i="1" s="1"/>
  <c r="L54" i="1"/>
  <c r="L85" i="1" s="1"/>
  <c r="L86" i="1" s="1"/>
  <c r="D54" i="1"/>
  <c r="D85" i="1" s="1"/>
  <c r="D86" i="1" s="1"/>
  <c r="M54" i="1"/>
  <c r="M85" i="1" s="1"/>
  <c r="M86" i="1" s="1"/>
  <c r="G60" i="1"/>
  <c r="G85" i="1" s="1"/>
  <c r="G86" i="1" s="1"/>
  <c r="G62" i="1"/>
  <c r="L68" i="1"/>
  <c r="D68" i="1"/>
  <c r="H68" i="1"/>
  <c r="M68" i="1"/>
  <c r="H70" i="1"/>
  <c r="L70" i="1"/>
  <c r="D70" i="1"/>
  <c r="M70" i="1"/>
  <c r="G74" i="1"/>
  <c r="H78" i="1"/>
  <c r="L78" i="1"/>
  <c r="D78" i="1"/>
  <c r="M78" i="1"/>
  <c r="G82" i="1"/>
  <c r="K102" i="1"/>
  <c r="K103" i="1" s="1"/>
  <c r="G92" i="1"/>
  <c r="F55" i="1"/>
  <c r="F83" i="1" s="1"/>
  <c r="N55" i="1"/>
  <c r="F59" i="1"/>
  <c r="F85" i="1" s="1"/>
  <c r="F86" i="1" s="1"/>
  <c r="F87" i="1" s="1"/>
  <c r="N59" i="1"/>
  <c r="F63" i="1"/>
  <c r="N63" i="1"/>
  <c r="F67" i="1"/>
  <c r="N67" i="1"/>
  <c r="F71" i="1"/>
  <c r="N71" i="1"/>
  <c r="J73" i="1"/>
  <c r="F75" i="1"/>
  <c r="N75" i="1"/>
  <c r="J77" i="1"/>
  <c r="F79" i="1"/>
  <c r="N79" i="1"/>
  <c r="J81" i="1"/>
  <c r="D90" i="1"/>
  <c r="L90" i="1"/>
  <c r="F91" i="1"/>
  <c r="N91" i="1"/>
  <c r="N100" i="1" s="1"/>
  <c r="D94" i="1"/>
  <c r="L94" i="1"/>
  <c r="F95" i="1"/>
  <c r="N95" i="1"/>
  <c r="H96" i="1"/>
  <c r="D98" i="1"/>
  <c r="L98" i="1"/>
  <c r="F99" i="1"/>
  <c r="N99" i="1"/>
  <c r="J96" i="1"/>
  <c r="J100" i="1" s="1"/>
  <c r="G90" i="1"/>
  <c r="C96" i="1"/>
  <c r="K96" i="1"/>
  <c r="F73" i="1"/>
  <c r="F77" i="1"/>
  <c r="F81" i="1"/>
  <c r="H90" i="1"/>
  <c r="H94" i="1"/>
  <c r="D96" i="1"/>
  <c r="L96" i="1"/>
  <c r="H98" i="1"/>
  <c r="I90" i="1"/>
  <c r="I94" i="1"/>
  <c r="E96" i="1"/>
  <c r="M96" i="1"/>
  <c r="I98" i="1"/>
  <c r="F96" i="1"/>
  <c r="F90" i="1" l="1"/>
  <c r="B87" i="1"/>
  <c r="H102" i="1"/>
  <c r="H103" i="1" s="1"/>
  <c r="H100" i="1"/>
  <c r="I85" i="1"/>
  <c r="I86" i="1" s="1"/>
  <c r="I83" i="1"/>
  <c r="N83" i="1"/>
  <c r="H113" i="1"/>
  <c r="J102" i="1"/>
  <c r="J103" i="1" s="1"/>
  <c r="N102" i="1"/>
  <c r="N103" i="1" s="1"/>
  <c r="E83" i="1"/>
  <c r="M100" i="1"/>
  <c r="E102" i="1"/>
  <c r="E103" i="1" s="1"/>
  <c r="D113" i="1"/>
  <c r="I102" i="1"/>
  <c r="I103" i="1" s="1"/>
  <c r="I100" i="1"/>
  <c r="L100" i="1"/>
  <c r="L102" i="1"/>
  <c r="L103" i="1" s="1"/>
  <c r="H85" i="1"/>
  <c r="H86" i="1" s="1"/>
  <c r="G100" i="1"/>
  <c r="G102" i="1"/>
  <c r="G103" i="1" s="1"/>
  <c r="D100" i="1"/>
  <c r="D102" i="1"/>
  <c r="D103" i="1" s="1"/>
  <c r="G83" i="1"/>
  <c r="K86" i="1"/>
  <c r="B103" i="1" l="1"/>
  <c r="F100" i="1"/>
  <c r="F102" i="1"/>
  <c r="F103" i="1" s="1"/>
  <c r="F104" i="1" l="1"/>
  <c r="AE18" i="1" l="1"/>
  <c r="AG18" i="1" s="1"/>
  <c r="F106" i="1"/>
  <c r="AE17" i="1" s="1"/>
  <c r="B104" i="1"/>
  <c r="K113" i="1" l="1"/>
  <c r="AG17" i="1"/>
  <c r="F113" i="1" s="1"/>
  <c r="AG14" i="1"/>
</calcChain>
</file>

<file path=xl/sharedStrings.xml><?xml version="1.0" encoding="utf-8"?>
<sst xmlns="http://schemas.openxmlformats.org/spreadsheetml/2006/main" count="145" uniqueCount="85">
  <si>
    <t>栄養成分計算表</t>
    <phoneticPr fontId="4"/>
  </si>
  <si>
    <t>計算表(強調表示）</t>
  </si>
  <si>
    <t>出力用</t>
  </si>
  <si>
    <t>蒸し物ﾗｲﾝ選択</t>
    <rPh sb="0" eb="1">
      <t>ム</t>
    </rPh>
    <rPh sb="2" eb="3">
      <t>モノ</t>
    </rPh>
    <rPh sb="6" eb="8">
      <t>センタク</t>
    </rPh>
    <phoneticPr fontId="4"/>
  </si>
  <si>
    <t>その他</t>
  </si>
  <si>
    <t>品名</t>
  </si>
  <si>
    <t>入数</t>
    <rPh sb="0" eb="1">
      <t>イ</t>
    </rPh>
    <rPh sb="1" eb="2">
      <t>スウ</t>
    </rPh>
    <phoneticPr fontId="6"/>
  </si>
  <si>
    <t>単位</t>
    <rPh sb="0" eb="2">
      <t>タンイ</t>
    </rPh>
    <phoneticPr fontId="6"/>
  </si>
  <si>
    <t>工場名</t>
    <rPh sb="0" eb="2">
      <t>コウジョウ</t>
    </rPh>
    <rPh sb="2" eb="3">
      <t>メイ</t>
    </rPh>
    <phoneticPr fontId="6"/>
  </si>
  <si>
    <t>計算者：</t>
  </si>
  <si>
    <t>*↓に入れた成分名がそのままAA列に出ます</t>
    <rPh sb="3" eb="4">
      <t>イ</t>
    </rPh>
    <rPh sb="6" eb="8">
      <t>セイブン</t>
    </rPh>
    <rPh sb="8" eb="9">
      <t>メイ</t>
    </rPh>
    <rPh sb="16" eb="17">
      <t>レツ</t>
    </rPh>
    <rPh sb="18" eb="19">
      <t>デ</t>
    </rPh>
    <phoneticPr fontId="4"/>
  </si>
  <si>
    <t>確認者：</t>
  </si>
  <si>
    <t>　　(単位も注意してください)</t>
    <rPh sb="3" eb="5">
      <t>タンイ</t>
    </rPh>
    <rPh sb="6" eb="8">
      <t>チュウイ</t>
    </rPh>
    <phoneticPr fontId="4"/>
  </si>
  <si>
    <t>原料</t>
  </si>
  <si>
    <t>配合(%)</t>
  </si>
  <si>
    <t>水分</t>
  </si>
  <si>
    <t>蛋白質</t>
  </si>
  <si>
    <t>脂質</t>
  </si>
  <si>
    <t>糖質</t>
  </si>
  <si>
    <t>繊維</t>
  </si>
  <si>
    <t>灰分</t>
  </si>
  <si>
    <t>Ｎａ</t>
  </si>
  <si>
    <t>ﾄﾗﾝｽ酸</t>
    <rPh sb="4" eb="5">
      <t>サン</t>
    </rPh>
    <phoneticPr fontId="1"/>
  </si>
  <si>
    <t>飽和脂肪酸</t>
    <rPh sb="0" eb="2">
      <t>ホウワ</t>
    </rPh>
    <rPh sb="2" eb="5">
      <t>シボウサン</t>
    </rPh>
    <phoneticPr fontId="1"/>
  </si>
  <si>
    <t>ｺﾚｽﾃﾛｰﾙ</t>
    <phoneticPr fontId="1"/>
  </si>
  <si>
    <t>ｴﾘｽﾘﾄｰﾙ</t>
    <phoneticPr fontId="4"/>
  </si>
  <si>
    <t>品名</t>
    <rPh sb="0" eb="2">
      <t>ヒンメイ</t>
    </rPh>
    <phoneticPr fontId="1"/>
  </si>
  <si>
    <t>栄養成分表示</t>
    <rPh sb="0" eb="2">
      <t>エイヨウ</t>
    </rPh>
    <rPh sb="2" eb="4">
      <t>セイブン</t>
    </rPh>
    <rPh sb="4" eb="6">
      <t>ヒョウジ</t>
    </rPh>
    <phoneticPr fontId="1"/>
  </si>
  <si>
    <t>100g当たり</t>
    <phoneticPr fontId="1"/>
  </si>
  <si>
    <t>小数点以下
表示桁数</t>
    <rPh sb="6" eb="8">
      <t>ヒョウジ</t>
    </rPh>
    <rPh sb="8" eb="9">
      <t>ケタ</t>
    </rPh>
    <rPh sb="9" eb="10">
      <t>スウ</t>
    </rPh>
    <phoneticPr fontId="4"/>
  </si>
  <si>
    <t>g</t>
    <phoneticPr fontId="1"/>
  </si>
  <si>
    <t>kcal</t>
  </si>
  <si>
    <t>たんぱく質</t>
    <rPh sb="4" eb="5">
      <t>シツ</t>
    </rPh>
    <phoneticPr fontId="1"/>
  </si>
  <si>
    <t>g</t>
  </si>
  <si>
    <t>脂質</t>
    <rPh sb="0" eb="2">
      <t>シシツ</t>
    </rPh>
    <phoneticPr fontId="1"/>
  </si>
  <si>
    <t>炭水化物</t>
    <rPh sb="0" eb="4">
      <t>タンスイカブツ</t>
    </rPh>
    <phoneticPr fontId="1"/>
  </si>
  <si>
    <t>糖質</t>
    <rPh sb="0" eb="2">
      <t>トウシツ</t>
    </rPh>
    <phoneticPr fontId="1"/>
  </si>
  <si>
    <t>食物繊維</t>
    <rPh sb="0" eb="2">
      <t>ショクモツ</t>
    </rPh>
    <rPh sb="2" eb="4">
      <t>センイ</t>
    </rPh>
    <phoneticPr fontId="1"/>
  </si>
  <si>
    <t>食塩相当量</t>
    <rPh sb="0" eb="2">
      <t>ショクエン</t>
    </rPh>
    <rPh sb="2" eb="5">
      <t>ソウトウリョウ</t>
    </rPh>
    <phoneticPr fontId="1"/>
  </si>
  <si>
    <t>g</t>
    <phoneticPr fontId="4"/>
  </si>
  <si>
    <t>μg</t>
  </si>
  <si>
    <t>ナトリウム</t>
    <phoneticPr fontId="1"/>
  </si>
  <si>
    <t>mg</t>
  </si>
  <si>
    <t>水分</t>
    <rPh sb="0" eb="2">
      <t>スイブン</t>
    </rPh>
    <phoneticPr fontId="1"/>
  </si>
  <si>
    <t>灰分</t>
    <rPh sb="0" eb="1">
      <t>ハイ</t>
    </rPh>
    <rPh sb="1" eb="2">
      <t>フン</t>
    </rPh>
    <phoneticPr fontId="1"/>
  </si>
  <si>
    <t>トランス脂肪酸</t>
    <rPh sb="4" eb="7">
      <t>シボウサン</t>
    </rPh>
    <phoneticPr fontId="1"/>
  </si>
  <si>
    <t>コレステロール</t>
    <phoneticPr fontId="1"/>
  </si>
  <si>
    <t>「この表示値は、目安です。」の一文は不要。</t>
  </si>
  <si>
    <t>焼減率</t>
    <rPh sb="0" eb="1">
      <t>ショウ</t>
    </rPh>
    <rPh sb="1" eb="2">
      <t>ゲン</t>
    </rPh>
    <rPh sb="2" eb="3">
      <t>リツ</t>
    </rPh>
    <phoneticPr fontId="1"/>
  </si>
  <si>
    <t>％とした</t>
  </si>
  <si>
    <t>材料</t>
  </si>
  <si>
    <t>(g)</t>
  </si>
  <si>
    <t>Na</t>
  </si>
  <si>
    <t>ﾄﾗﾝｽ酸</t>
    <rPh sb="4" eb="5">
      <t>サン</t>
    </rPh>
    <phoneticPr fontId="6"/>
  </si>
  <si>
    <t>飽和脂肪酸</t>
    <rPh sb="0" eb="2">
      <t>ホウワ</t>
    </rPh>
    <rPh sb="2" eb="5">
      <t>シボウサン</t>
    </rPh>
    <phoneticPr fontId="6"/>
  </si>
  <si>
    <t>ｺﾚｽﾃﾛｰﾙ</t>
  </si>
  <si>
    <t>生地</t>
  </si>
  <si>
    <t>　</t>
  </si>
  <si>
    <t>配合％</t>
  </si>
  <si>
    <t>ｺﾚｽﾃﾛｰﾙ</t>
    <phoneticPr fontId="1"/>
  </si>
  <si>
    <t>ﾌﾟﾙﾀﾞｳﾝﾘｽﾄ</t>
    <phoneticPr fontId="4"/>
  </si>
  <si>
    <t>この表示値は、目安です。</t>
    <phoneticPr fontId="4"/>
  </si>
  <si>
    <t>「この表示値は、目安です。」の一文は不要。</t>
    <phoneticPr fontId="4"/>
  </si>
  <si>
    <r>
      <t>栄養成分表示</t>
    </r>
    <r>
      <rPr>
        <sz val="14"/>
        <color indexed="8"/>
        <rFont val="Calibri"/>
        <family val="2"/>
      </rPr>
      <t>(</t>
    </r>
    <r>
      <rPr>
        <sz val="14"/>
        <color indexed="8"/>
        <rFont val="ＭＳ Ｐゴシック"/>
        <family val="3"/>
        <charset val="128"/>
      </rPr>
      <t>例</t>
    </r>
    <r>
      <rPr>
        <sz val="14"/>
        <color indexed="8"/>
        <rFont val="Calibri"/>
        <family val="2"/>
      </rPr>
      <t>)</t>
    </r>
    <r>
      <rPr>
        <sz val="14"/>
        <color indexed="10"/>
        <rFont val="ＭＳ Ｐゴシック"/>
        <family val="3"/>
        <charset val="128"/>
      </rPr>
      <t>変更有</t>
    </r>
    <r>
      <rPr>
        <sz val="14"/>
        <color indexed="10"/>
        <rFont val="Calibri"/>
        <family val="2"/>
      </rPr>
      <t xml:space="preserve"> </t>
    </r>
  </si>
  <si>
    <t>1個当たり</t>
    <rPh sb="1" eb="2">
      <t>コ</t>
    </rPh>
    <rPh sb="2" eb="3">
      <t>アタ</t>
    </rPh>
    <phoneticPr fontId="4"/>
  </si>
  <si>
    <r>
      <rPr>
        <sz val="14"/>
        <color indexed="10"/>
        <rFont val="ＭＳ ゴシック"/>
        <family val="3"/>
        <charset val="128"/>
      </rPr>
      <t>1本</t>
    </r>
    <r>
      <rPr>
        <sz val="14"/>
        <rFont val="ＭＳ ゴシック"/>
        <family val="3"/>
        <charset val="128"/>
      </rPr>
      <t>当たり</t>
    </r>
    <rPh sb="1" eb="2">
      <t>ホン</t>
    </rPh>
    <rPh sb="2" eb="3">
      <t>アタ</t>
    </rPh>
    <phoneticPr fontId="4"/>
  </si>
  <si>
    <r>
      <rPr>
        <sz val="14"/>
        <color indexed="10"/>
        <rFont val="ＭＳ ゴシック"/>
        <family val="3"/>
        <charset val="128"/>
      </rPr>
      <t>1枚</t>
    </r>
    <r>
      <rPr>
        <sz val="14"/>
        <rFont val="ＭＳ ゴシック"/>
        <family val="3"/>
        <charset val="128"/>
      </rPr>
      <t>当たり</t>
    </r>
    <rPh sb="1" eb="2">
      <t>マイ</t>
    </rPh>
    <rPh sb="2" eb="3">
      <t>アタ</t>
    </rPh>
    <phoneticPr fontId="4"/>
  </si>
  <si>
    <r>
      <rPr>
        <sz val="14"/>
        <color indexed="10"/>
        <rFont val="ＭＳ ゴシック"/>
        <family val="3"/>
        <charset val="128"/>
      </rPr>
      <t>1包装</t>
    </r>
    <r>
      <rPr>
        <sz val="14"/>
        <rFont val="ＭＳ ゴシック"/>
        <family val="3"/>
        <charset val="128"/>
      </rPr>
      <t>当たり</t>
    </r>
    <rPh sb="1" eb="3">
      <t>ホウソウ</t>
    </rPh>
    <rPh sb="3" eb="4">
      <t>アタ</t>
    </rPh>
    <phoneticPr fontId="4"/>
  </si>
  <si>
    <r>
      <t>1個当たりの</t>
    </r>
    <r>
      <rPr>
        <sz val="14"/>
        <color indexed="10"/>
        <rFont val="ＭＳ ゴシック"/>
        <family val="3"/>
        <charset val="128"/>
      </rPr>
      <t>平均値</t>
    </r>
    <rPh sb="1" eb="2">
      <t>コ</t>
    </rPh>
    <rPh sb="2" eb="3">
      <t>アタ</t>
    </rPh>
    <rPh sb="6" eb="9">
      <t>ヘイキンチ</t>
    </rPh>
    <phoneticPr fontId="4"/>
  </si>
  <si>
    <t>合計</t>
  </si>
  <si>
    <t>焼減率(%)</t>
  </si>
  <si>
    <t>焼成後</t>
  </si>
  <si>
    <t>100gあたり</t>
  </si>
  <si>
    <t>修正後</t>
  </si>
  <si>
    <t xml:space="preserve"> </t>
  </si>
  <si>
    <t>規格重量</t>
    <rPh sb="0" eb="2">
      <t>キカク</t>
    </rPh>
    <rPh sb="2" eb="4">
      <t>ジュウリョウ</t>
    </rPh>
    <phoneticPr fontId="1"/>
  </si>
  <si>
    <t>100g中のカロリー</t>
  </si>
  <si>
    <t>Kcal</t>
  </si>
  <si>
    <t>HP掲載用</t>
    <rPh sb="2" eb="4">
      <t>ケイサイ</t>
    </rPh>
    <rPh sb="4" eb="5">
      <t>ヨウ</t>
    </rPh>
    <phoneticPr fontId="4"/>
  </si>
  <si>
    <t>エネルギー</t>
  </si>
  <si>
    <t>ﾄﾗﾝｽ脂肪酸</t>
    <rPh sb="4" eb="7">
      <t>シボウサン</t>
    </rPh>
    <phoneticPr fontId="1"/>
  </si>
  <si>
    <t>その他</t>
    <rPh sb="2" eb="3">
      <t>タ</t>
    </rPh>
    <phoneticPr fontId="4"/>
  </si>
  <si>
    <t>ｇ</t>
  </si>
  <si>
    <t>ｍｇ</t>
  </si>
  <si>
    <t>年月日</t>
    <rPh sb="0" eb="1">
      <t>ネン</t>
    </rPh>
    <rPh sb="1" eb="2">
      <t>ガツ</t>
    </rPh>
    <rPh sb="2" eb="3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</si>
</sst>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,##0.0;[Red]\-#,##0.0"/>
    <numFmt numFmtId="177" formatCode="0.0000"/>
    <numFmt numFmtId="178" formatCode="#,##0.00_ "/>
    <numFmt numFmtId="179" formatCode="0.00_ "/>
    <numFmt numFmtId="180" formatCode="0_);[Red]\(0\)"/>
    <numFmt numFmtId="181" formatCode="0.0_);[Red]\(0.0\)"/>
    <numFmt numFmtId="182" formatCode="0.00;\-0.00;0;@"/>
    <numFmt numFmtId="183" formatCode="0.0_ "/>
    <numFmt numFmtId="184" formatCode="0.00_);[Red]\(0.00\)"/>
    <numFmt numFmtId="185" formatCode="0_ "/>
    <numFmt numFmtId="186" formatCode="0.0"/>
    <numFmt numFmtId="187" formatCode="0.000"/>
    <numFmt numFmtId="188" formatCode="#,##0.0_ ;[Red]\-#,##0.0\ "/>
  </numFmts>
  <fonts count="44" x14ac:knownFonts="1">
    <font>
      <sz val="11"/>
      <name val="ＭＳ Ｐゴシック"/>
      <family val="3"/>
      <charset val="128"/>
    </font>
    <font>
      <sz val="14"/>
      <name val="Terminal"/>
      <charset val="128"/>
    </font>
    <font>
      <sz val="14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14"/>
      <color indexed="12"/>
      <name val="ＭＳ 明朝"/>
      <family val="1"/>
      <charset val="128"/>
    </font>
    <font>
      <sz val="11"/>
      <name val="ＭＳ Ｐゴシック"/>
      <family val="3"/>
      <charset val="128"/>
    </font>
    <font>
      <sz val="14"/>
      <color rgb="FF0000FF"/>
      <name val="ＭＳ 明朝"/>
      <family val="1"/>
      <charset val="128"/>
    </font>
    <font>
      <sz val="14"/>
      <name val="ＭＳ Ｐゴシック"/>
      <family val="3"/>
      <charset val="128"/>
    </font>
    <font>
      <sz val="18"/>
      <name val="ＭＳ Ｐゴシック"/>
      <family val="3"/>
      <charset val="128"/>
    </font>
    <font>
      <sz val="13"/>
      <name val="ＭＳ 明朝"/>
      <family val="1"/>
      <charset val="128"/>
    </font>
    <font>
      <sz val="2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3"/>
      <name val="ＭＳ Ｐゴシック"/>
      <family val="3"/>
      <charset val="128"/>
    </font>
    <font>
      <sz val="21"/>
      <name val="ＭＳ Ｐゴシック"/>
      <family val="3"/>
      <charset val="128"/>
    </font>
    <font>
      <sz val="19"/>
      <name val="ＭＳ Ｐゴシック"/>
      <family val="3"/>
      <charset val="128"/>
    </font>
    <font>
      <sz val="17"/>
      <name val="ＭＳ Ｐゴシック"/>
      <family val="3"/>
      <charset val="128"/>
    </font>
    <font>
      <sz val="15"/>
      <name val="ＭＳ Ｐゴシック"/>
      <family val="3"/>
      <charset val="128"/>
    </font>
    <font>
      <sz val="12.5"/>
      <name val="ＭＳ Ｐゴシック"/>
      <family val="3"/>
      <charset val="128"/>
    </font>
    <font>
      <sz val="12"/>
      <color indexed="10"/>
      <name val="ＭＳ Ｐ明朝"/>
      <family val="1"/>
      <charset val="128"/>
    </font>
    <font>
      <sz val="12"/>
      <color rgb="FF0000FF"/>
      <name val="ＭＳ 明朝"/>
      <family val="1"/>
      <charset val="128"/>
    </font>
    <font>
      <sz val="12"/>
      <color rgb="FF0000FF"/>
      <name val="ＭＳ Ｐ明朝"/>
      <family val="1"/>
      <charset val="128"/>
    </font>
    <font>
      <b/>
      <sz val="14"/>
      <name val="ＭＳ 明朝"/>
      <family val="1"/>
      <charset val="128"/>
    </font>
    <font>
      <b/>
      <sz val="14"/>
      <name val="ＭＳ Ｐゴシック"/>
      <family val="3"/>
      <charset val="128"/>
    </font>
    <font>
      <sz val="14"/>
      <color rgb="FFFF0000"/>
      <name val="ＭＳ ゴシック"/>
      <family val="3"/>
      <charset val="128"/>
    </font>
    <font>
      <sz val="14"/>
      <color indexed="12"/>
      <name val="ＭＳ ゴシック"/>
      <family val="3"/>
      <charset val="128"/>
    </font>
    <font>
      <sz val="14"/>
      <name val="ＭＳ ゴシック"/>
      <family val="3"/>
      <charset val="128"/>
    </font>
    <font>
      <sz val="14"/>
      <color rgb="FF000000"/>
      <name val="ＭＳ Ｐゴシック"/>
      <family val="3"/>
      <charset val="128"/>
    </font>
    <font>
      <sz val="14"/>
      <color rgb="FF000000"/>
      <name val="Calibri"/>
      <family val="2"/>
    </font>
    <font>
      <sz val="14"/>
      <color indexed="8"/>
      <name val="Calibri"/>
      <family val="2"/>
    </font>
    <font>
      <sz val="14"/>
      <color indexed="8"/>
      <name val="ＭＳ Ｐゴシック"/>
      <family val="3"/>
      <charset val="128"/>
    </font>
    <font>
      <sz val="14"/>
      <color indexed="10"/>
      <name val="ＭＳ Ｐゴシック"/>
      <family val="3"/>
      <charset val="128"/>
    </font>
    <font>
      <sz val="14"/>
      <color indexed="10"/>
      <name val="Calibri"/>
      <family val="2"/>
    </font>
    <font>
      <sz val="14"/>
      <color indexed="10"/>
      <name val="ＭＳ ゴシック"/>
      <family val="3"/>
      <charset val="128"/>
    </font>
    <font>
      <b/>
      <sz val="14"/>
      <color indexed="10"/>
      <name val="ＭＳ 明朝"/>
      <family val="1"/>
      <charset val="128"/>
    </font>
    <font>
      <sz val="14"/>
      <color rgb="FFFF0000"/>
      <name val="ＭＳ 明朝"/>
      <family val="1"/>
      <charset val="128"/>
    </font>
    <font>
      <b/>
      <sz val="15"/>
      <color indexed="10"/>
      <name val="ＭＳ 明朝"/>
      <family val="1"/>
      <charset val="128"/>
    </font>
    <font>
      <sz val="15"/>
      <name val="ＭＳ 明朝"/>
      <family val="1"/>
      <charset val="128"/>
    </font>
    <font>
      <sz val="15"/>
      <color indexed="12"/>
      <name val="ＭＳ 明朝"/>
      <family val="1"/>
      <charset val="128"/>
    </font>
    <font>
      <sz val="14"/>
      <color indexed="12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14"/>
      <color theme="0" tint="-0.49998474074526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2" fontId="1" fillId="0" borderId="0"/>
    <xf numFmtId="38" fontId="6" fillId="0" borderId="0" applyFont="0" applyFill="0" applyBorder="0" applyAlignment="0" applyProtection="0"/>
    <xf numFmtId="0" fontId="6" fillId="0" borderId="0"/>
  </cellStyleXfs>
  <cellXfs count="227">
    <xf numFmtId="0" fontId="0" fillId="0" borderId="0" xfId="0"/>
    <xf numFmtId="2" fontId="2" fillId="0" borderId="0" xfId="1" applyNumberFormat="1" applyFont="1" applyAlignment="1" applyProtection="1">
      <alignment horizontal="left"/>
    </xf>
    <xf numFmtId="2" fontId="5" fillId="0" borderId="0" xfId="1" applyNumberFormat="1" applyFont="1" applyProtection="1">
      <protection locked="0"/>
    </xf>
    <xf numFmtId="176" fontId="5" fillId="0" borderId="0" xfId="2" applyNumberFormat="1" applyFont="1" applyProtection="1">
      <protection locked="0"/>
    </xf>
    <xf numFmtId="2" fontId="2" fillId="0" borderId="0" xfId="1" applyFont="1"/>
    <xf numFmtId="2" fontId="7" fillId="0" borderId="0" xfId="0" applyNumberFormat="1" applyFont="1" applyProtection="1">
      <protection locked="0"/>
    </xf>
    <xf numFmtId="2" fontId="2" fillId="2" borderId="0" xfId="1" applyNumberFormat="1" applyFont="1" applyFill="1" applyAlignment="1" applyProtection="1">
      <alignment horizontal="left"/>
    </xf>
    <xf numFmtId="2" fontId="8" fillId="0" borderId="0" xfId="1" applyFont="1"/>
    <xf numFmtId="2" fontId="2" fillId="3" borderId="0" xfId="1" applyFont="1" applyFill="1"/>
    <xf numFmtId="2" fontId="2" fillId="4" borderId="1" xfId="1" applyNumberFormat="1" applyFont="1" applyFill="1" applyBorder="1" applyAlignment="1" applyProtection="1">
      <alignment horizontal="center"/>
      <protection locked="0"/>
    </xf>
    <xf numFmtId="49" fontId="5" fillId="0" borderId="0" xfId="1" applyNumberFormat="1" applyFont="1" applyAlignment="1" applyProtection="1">
      <alignment horizontal="left"/>
      <protection locked="0"/>
    </xf>
    <xf numFmtId="176" fontId="5" fillId="0" borderId="0" xfId="2" applyNumberFormat="1" applyFont="1" applyBorder="1" applyProtection="1">
      <protection locked="0"/>
    </xf>
    <xf numFmtId="49" fontId="5" fillId="0" borderId="2" xfId="2" applyNumberFormat="1" applyFont="1" applyBorder="1" applyAlignment="1" applyProtection="1">
      <alignment horizontal="center"/>
      <protection locked="0"/>
    </xf>
    <xf numFmtId="0" fontId="5" fillId="0" borderId="2" xfId="2" applyNumberFormat="1" applyFont="1" applyBorder="1" applyAlignment="1" applyProtection="1">
      <alignment horizontal="center"/>
      <protection locked="0"/>
    </xf>
    <xf numFmtId="0" fontId="5" fillId="0" borderId="2" xfId="1" applyNumberFormat="1" applyFont="1" applyBorder="1" applyAlignment="1" applyProtection="1">
      <alignment horizontal="center"/>
      <protection locked="0"/>
    </xf>
    <xf numFmtId="2" fontId="5" fillId="0" borderId="0" xfId="1" applyNumberFormat="1" applyFont="1" applyBorder="1" applyProtection="1">
      <protection locked="0"/>
    </xf>
    <xf numFmtId="176" fontId="2" fillId="0" borderId="0" xfId="2" applyNumberFormat="1" applyFont="1"/>
    <xf numFmtId="2" fontId="9" fillId="0" borderId="0" xfId="1" applyFont="1"/>
    <xf numFmtId="2" fontId="2" fillId="4" borderId="3" xfId="1" applyNumberFormat="1" applyFont="1" applyFill="1" applyBorder="1" applyAlignment="1" applyProtection="1">
      <alignment horizontal="center"/>
    </xf>
    <xf numFmtId="2" fontId="2" fillId="4" borderId="4" xfId="1" applyNumberFormat="1" applyFont="1" applyFill="1" applyBorder="1" applyAlignment="1" applyProtection="1">
      <alignment horizontal="center"/>
    </xf>
    <xf numFmtId="177" fontId="2" fillId="4" borderId="4" xfId="1" applyNumberFormat="1" applyFont="1" applyFill="1" applyBorder="1" applyAlignment="1" applyProtection="1">
      <alignment horizontal="center"/>
    </xf>
    <xf numFmtId="176" fontId="2" fillId="4" borderId="5" xfId="2" applyNumberFormat="1" applyFont="1" applyFill="1" applyBorder="1" applyAlignment="1" applyProtection="1">
      <alignment horizontal="center"/>
    </xf>
    <xf numFmtId="176" fontId="10" fillId="2" borderId="6" xfId="2" applyNumberFormat="1" applyFont="1" applyFill="1" applyBorder="1" applyAlignment="1" applyProtection="1">
      <alignment horizontal="center"/>
    </xf>
    <xf numFmtId="176" fontId="10" fillId="2" borderId="4" xfId="2" applyNumberFormat="1" applyFont="1" applyFill="1" applyBorder="1" applyAlignment="1" applyProtection="1">
      <alignment horizontal="center"/>
    </xf>
    <xf numFmtId="2" fontId="11" fillId="0" borderId="0" xfId="1" applyFont="1"/>
    <xf numFmtId="0" fontId="12" fillId="0" borderId="4" xfId="0" applyFont="1" applyFill="1" applyBorder="1" applyProtection="1">
      <protection locked="0"/>
    </xf>
    <xf numFmtId="178" fontId="12" fillId="0" borderId="4" xfId="0" applyNumberFormat="1" applyFont="1" applyFill="1" applyBorder="1" applyProtection="1">
      <protection locked="0"/>
    </xf>
    <xf numFmtId="179" fontId="0" fillId="0" borderId="4" xfId="0" applyNumberFormat="1" applyFill="1" applyBorder="1"/>
    <xf numFmtId="179" fontId="0" fillId="0" borderId="6" xfId="0" applyNumberFormat="1" applyFill="1" applyBorder="1"/>
    <xf numFmtId="179" fontId="0" fillId="0" borderId="4" xfId="0" applyNumberFormat="1" applyBorder="1"/>
    <xf numFmtId="0" fontId="12" fillId="0" borderId="4" xfId="0" applyFont="1" applyBorder="1" applyProtection="1">
      <protection locked="0"/>
    </xf>
    <xf numFmtId="178" fontId="12" fillId="0" borderId="4" xfId="0" applyNumberFormat="1" applyFont="1" applyBorder="1" applyProtection="1">
      <protection locked="0"/>
    </xf>
    <xf numFmtId="179" fontId="0" fillId="0" borderId="6" xfId="0" applyNumberFormat="1" applyBorder="1"/>
    <xf numFmtId="2" fontId="8" fillId="0" borderId="0" xfId="1" applyFont="1" applyAlignment="1">
      <alignment vertical="center"/>
    </xf>
    <xf numFmtId="2" fontId="13" fillId="0" borderId="0" xfId="1" applyFont="1" applyFill="1" applyBorder="1" applyAlignment="1">
      <alignment vertical="center"/>
    </xf>
    <xf numFmtId="0" fontId="8" fillId="0" borderId="0" xfId="0" applyFont="1" applyAlignment="1"/>
    <xf numFmtId="2" fontId="8" fillId="0" borderId="9" xfId="1" applyFont="1" applyBorder="1" applyAlignment="1">
      <alignment vertical="center"/>
    </xf>
    <xf numFmtId="0" fontId="15" fillId="0" borderId="0" xfId="1" applyNumberFormat="1" applyFont="1" applyAlignment="1">
      <alignment horizontal="center"/>
    </xf>
    <xf numFmtId="2" fontId="16" fillId="0" borderId="9" xfId="1" applyFont="1" applyBorder="1" applyAlignment="1">
      <alignment horizontal="center"/>
    </xf>
    <xf numFmtId="180" fontId="15" fillId="0" borderId="0" xfId="1" applyNumberFormat="1" applyFont="1" applyAlignment="1">
      <alignment horizontal="center"/>
    </xf>
    <xf numFmtId="2" fontId="9" fillId="0" borderId="0" xfId="1" applyFont="1" applyAlignment="1">
      <alignment horizontal="left"/>
    </xf>
    <xf numFmtId="2" fontId="2" fillId="0" borderId="0" xfId="1" applyFont="1" applyAlignment="1"/>
    <xf numFmtId="2" fontId="9" fillId="0" borderId="10" xfId="1" applyFont="1" applyBorder="1" applyAlignment="1"/>
    <xf numFmtId="2" fontId="16" fillId="0" borderId="10" xfId="1" applyFont="1" applyBorder="1" applyAlignment="1"/>
    <xf numFmtId="2" fontId="16" fillId="0" borderId="10" xfId="1" applyFont="1" applyBorder="1" applyAlignment="1">
      <alignment horizontal="center"/>
    </xf>
    <xf numFmtId="180" fontId="16" fillId="0" borderId="10" xfId="1" applyNumberFormat="1" applyFont="1" applyBorder="1" applyAlignment="1">
      <alignment horizontal="center"/>
    </xf>
    <xf numFmtId="2" fontId="16" fillId="0" borderId="10" xfId="1" applyFont="1" applyBorder="1" applyAlignment="1">
      <alignment horizontal="right"/>
    </xf>
    <xf numFmtId="181" fontId="16" fillId="0" borderId="10" xfId="1" applyNumberFormat="1" applyFont="1" applyBorder="1" applyAlignment="1">
      <alignment horizontal="center"/>
    </xf>
    <xf numFmtId="0" fontId="8" fillId="5" borderId="8" xfId="1" applyNumberFormat="1" applyFont="1" applyFill="1" applyBorder="1" applyAlignment="1">
      <alignment horizontal="center" vertical="center"/>
    </xf>
    <xf numFmtId="2" fontId="9" fillId="0" borderId="10" xfId="1" applyFont="1" applyBorder="1"/>
    <xf numFmtId="2" fontId="16" fillId="0" borderId="10" xfId="1" applyFont="1" applyBorder="1"/>
    <xf numFmtId="2" fontId="16" fillId="0" borderId="10" xfId="1" applyFont="1" applyBorder="1" applyAlignment="1">
      <alignment horizontal="left" indent="2"/>
    </xf>
    <xf numFmtId="176" fontId="16" fillId="0" borderId="10" xfId="1" applyNumberFormat="1" applyFont="1" applyFill="1" applyBorder="1" applyAlignment="1">
      <alignment horizontal="center"/>
    </xf>
    <xf numFmtId="182" fontId="16" fillId="0" borderId="10" xfId="1" applyNumberFormat="1" applyFont="1" applyBorder="1" applyAlignment="1">
      <alignment horizontal="right"/>
    </xf>
    <xf numFmtId="183" fontId="16" fillId="0" borderId="10" xfId="1" applyNumberFormat="1" applyFont="1" applyBorder="1" applyAlignment="1">
      <alignment horizontal="center"/>
    </xf>
    <xf numFmtId="184" fontId="16" fillId="0" borderId="10" xfId="1" applyNumberFormat="1" applyFont="1" applyBorder="1" applyAlignment="1">
      <alignment horizontal="center"/>
    </xf>
    <xf numFmtId="2" fontId="16" fillId="0" borderId="0" xfId="1" applyFont="1" applyBorder="1" applyAlignment="1">
      <alignment horizontal="left" indent="2"/>
    </xf>
    <xf numFmtId="2" fontId="16" fillId="0" borderId="0" xfId="1" applyFont="1" applyBorder="1" applyAlignment="1">
      <alignment horizontal="center"/>
    </xf>
    <xf numFmtId="182" fontId="16" fillId="0" borderId="10" xfId="1" applyNumberFormat="1" applyFont="1" applyBorder="1" applyAlignment="1">
      <alignment horizontal="center"/>
    </xf>
    <xf numFmtId="2" fontId="16" fillId="0" borderId="10" xfId="1" applyFont="1" applyFill="1" applyBorder="1" applyAlignment="1">
      <alignment horizontal="center"/>
    </xf>
    <xf numFmtId="181" fontId="16" fillId="0" borderId="10" xfId="1" applyNumberFormat="1" applyFont="1" applyFill="1" applyBorder="1" applyAlignment="1">
      <alignment horizontal="center"/>
    </xf>
    <xf numFmtId="176" fontId="16" fillId="0" borderId="10" xfId="2" applyNumberFormat="1" applyFont="1" applyBorder="1" applyAlignment="1">
      <alignment horizontal="center"/>
    </xf>
    <xf numFmtId="2" fontId="16" fillId="2" borderId="10" xfId="1" applyFont="1" applyFill="1" applyBorder="1" applyAlignment="1">
      <alignment horizontal="center"/>
    </xf>
    <xf numFmtId="176" fontId="16" fillId="0" borderId="10" xfId="1" applyNumberFormat="1" applyFont="1" applyBorder="1" applyAlignment="1">
      <alignment horizontal="right"/>
    </xf>
    <xf numFmtId="185" fontId="16" fillId="0" borderId="10" xfId="1" applyNumberFormat="1" applyFont="1" applyBorder="1" applyAlignment="1">
      <alignment horizontal="center"/>
    </xf>
    <xf numFmtId="185" fontId="16" fillId="0" borderId="10" xfId="2" applyNumberFormat="1" applyFont="1" applyBorder="1" applyAlignment="1">
      <alignment horizontal="center"/>
    </xf>
    <xf numFmtId="2" fontId="17" fillId="0" borderId="10" xfId="1" applyFont="1" applyBorder="1"/>
    <xf numFmtId="2" fontId="17" fillId="0" borderId="10" xfId="1" applyFont="1" applyBorder="1" applyAlignment="1">
      <alignment horizontal="center"/>
    </xf>
    <xf numFmtId="181" fontId="17" fillId="0" borderId="10" xfId="1" applyNumberFormat="1" applyFont="1" applyBorder="1" applyAlignment="1">
      <alignment horizontal="center"/>
    </xf>
    <xf numFmtId="2" fontId="17" fillId="0" borderId="10" xfId="1" applyFont="1" applyBorder="1" applyAlignment="1">
      <alignment horizontal="right"/>
    </xf>
    <xf numFmtId="184" fontId="16" fillId="0" borderId="10" xfId="1" applyNumberFormat="1" applyFont="1" applyBorder="1" applyAlignment="1">
      <alignment horizontal="right"/>
    </xf>
    <xf numFmtId="181" fontId="16" fillId="0" borderId="10" xfId="1" applyNumberFormat="1" applyFont="1" applyBorder="1" applyAlignment="1">
      <alignment horizontal="right"/>
    </xf>
    <xf numFmtId="180" fontId="16" fillId="0" borderId="10" xfId="2" applyNumberFormat="1" applyFont="1" applyBorder="1" applyAlignment="1">
      <alignment horizontal="center"/>
    </xf>
    <xf numFmtId="38" fontId="16" fillId="0" borderId="10" xfId="2" applyFont="1" applyBorder="1" applyAlignment="1">
      <alignment horizontal="center"/>
    </xf>
    <xf numFmtId="2" fontId="8" fillId="0" borderId="0" xfId="1" applyFont="1" applyBorder="1"/>
    <xf numFmtId="2" fontId="8" fillId="0" borderId="0" xfId="1" applyFont="1" applyBorder="1" applyAlignment="1"/>
    <xf numFmtId="180" fontId="8" fillId="0" borderId="0" xfId="1" applyNumberFormat="1" applyFont="1" applyBorder="1"/>
    <xf numFmtId="181" fontId="8" fillId="0" borderId="0" xfId="1" applyNumberFormat="1" applyFont="1" applyBorder="1"/>
    <xf numFmtId="0" fontId="14" fillId="0" borderId="0" xfId="0" applyFont="1"/>
    <xf numFmtId="184" fontId="8" fillId="0" borderId="0" xfId="1" applyNumberFormat="1" applyFont="1" applyBorder="1"/>
    <xf numFmtId="2" fontId="8" fillId="6" borderId="0" xfId="1" applyFont="1" applyFill="1" applyBorder="1"/>
    <xf numFmtId="2" fontId="9" fillId="0" borderId="0" xfId="1" applyFont="1" applyAlignment="1">
      <alignment horizontal="right"/>
    </xf>
    <xf numFmtId="181" fontId="9" fillId="0" borderId="0" xfId="1" applyNumberFormat="1" applyFont="1" applyAlignment="1">
      <alignment horizontal="right"/>
    </xf>
    <xf numFmtId="2" fontId="2" fillId="6" borderId="0" xfId="1" applyFont="1" applyFill="1" applyBorder="1"/>
    <xf numFmtId="2" fontId="5" fillId="0" borderId="7" xfId="1" applyNumberFormat="1" applyFont="1" applyBorder="1" applyProtection="1">
      <protection locked="0"/>
    </xf>
    <xf numFmtId="2" fontId="5" fillId="0" borderId="11" xfId="1" applyNumberFormat="1" applyFont="1" applyBorder="1" applyProtection="1">
      <protection locked="0"/>
    </xf>
    <xf numFmtId="176" fontId="5" fillId="0" borderId="12" xfId="2" applyNumberFormat="1" applyFont="1" applyBorder="1" applyProtection="1">
      <protection locked="0"/>
    </xf>
    <xf numFmtId="176" fontId="5" fillId="0" borderId="13" xfId="2" applyNumberFormat="1" applyFont="1" applyBorder="1" applyProtection="1">
      <protection locked="0"/>
    </xf>
    <xf numFmtId="2" fontId="2" fillId="0" borderId="0" xfId="1" applyFont="1" applyBorder="1"/>
    <xf numFmtId="2" fontId="2" fillId="4" borderId="14" xfId="1" applyNumberFormat="1" applyFont="1" applyFill="1" applyBorder="1" applyAlignment="1" applyProtection="1">
      <alignment horizontal="center"/>
    </xf>
    <xf numFmtId="176" fontId="2" fillId="4" borderId="4" xfId="2" applyNumberFormat="1" applyFont="1" applyFill="1" applyBorder="1" applyAlignment="1" applyProtection="1">
      <alignment horizontal="center"/>
    </xf>
    <xf numFmtId="176" fontId="10" fillId="0" borderId="6" xfId="2" applyNumberFormat="1" applyFont="1" applyBorder="1" applyAlignment="1" applyProtection="1">
      <alignment horizontal="center"/>
    </xf>
    <xf numFmtId="176" fontId="10" fillId="0" borderId="4" xfId="2" applyNumberFormat="1" applyFont="1" applyBorder="1" applyAlignment="1" applyProtection="1">
      <alignment horizontal="center"/>
    </xf>
    <xf numFmtId="0" fontId="19" fillId="0" borderId="0" xfId="0" applyFont="1"/>
    <xf numFmtId="2" fontId="5" fillId="0" borderId="3" xfId="1" applyNumberFormat="1" applyFont="1" applyBorder="1" applyAlignment="1" applyProtection="1">
      <alignment horizontal="left"/>
      <protection locked="0"/>
    </xf>
    <xf numFmtId="176" fontId="5" fillId="0" borderId="3" xfId="2" applyNumberFormat="1" applyFont="1" applyBorder="1" applyProtection="1">
      <protection locked="0"/>
    </xf>
    <xf numFmtId="2" fontId="5" fillId="0" borderId="3" xfId="1" applyNumberFormat="1" applyFont="1" applyBorder="1" applyProtection="1">
      <protection locked="0"/>
    </xf>
    <xf numFmtId="186" fontId="5" fillId="0" borderId="14" xfId="1" applyNumberFormat="1" applyFont="1" applyBorder="1" applyProtection="1">
      <protection locked="0"/>
    </xf>
    <xf numFmtId="177" fontId="5" fillId="0" borderId="4" xfId="1" applyNumberFormat="1" applyFont="1" applyBorder="1" applyAlignment="1" applyProtection="1">
      <alignment horizontal="right"/>
      <protection locked="0"/>
    </xf>
    <xf numFmtId="2" fontId="20" fillId="0" borderId="4" xfId="0" applyNumberFormat="1" applyFont="1" applyFill="1" applyBorder="1" applyAlignment="1">
      <alignment horizontal="right" wrapText="1"/>
    </xf>
    <xf numFmtId="176" fontId="5" fillId="0" borderId="4" xfId="2" applyNumberFormat="1" applyFont="1" applyBorder="1" applyAlignment="1" applyProtection="1">
      <alignment horizontal="right"/>
      <protection locked="0"/>
    </xf>
    <xf numFmtId="176" fontId="5" fillId="0" borderId="6" xfId="2" applyNumberFormat="1" applyFont="1" applyBorder="1" applyAlignment="1" applyProtection="1">
      <alignment horizontal="right"/>
      <protection locked="0"/>
    </xf>
    <xf numFmtId="2" fontId="6" fillId="0" borderId="0" xfId="1" applyFont="1"/>
    <xf numFmtId="2" fontId="21" fillId="0" borderId="4" xfId="0" applyNumberFormat="1" applyFont="1" applyBorder="1" applyAlignment="1" applyProtection="1">
      <alignment horizontal="left"/>
      <protection locked="0"/>
    </xf>
    <xf numFmtId="186" fontId="22" fillId="0" borderId="15" xfId="0" applyNumberFormat="1" applyFont="1" applyBorder="1" applyProtection="1">
      <protection locked="0"/>
    </xf>
    <xf numFmtId="2" fontId="22" fillId="0" borderId="15" xfId="0" applyNumberFormat="1" applyFont="1" applyBorder="1" applyProtection="1">
      <protection locked="0"/>
    </xf>
    <xf numFmtId="0" fontId="22" fillId="0" borderId="4" xfId="0" applyFont="1" applyBorder="1" applyProtection="1">
      <protection locked="0"/>
    </xf>
    <xf numFmtId="2" fontId="22" fillId="0" borderId="4" xfId="0" applyNumberFormat="1" applyFont="1" applyBorder="1" applyProtection="1">
      <protection locked="0"/>
    </xf>
    <xf numFmtId="184" fontId="12" fillId="0" borderId="4" xfId="0" applyNumberFormat="1" applyFont="1" applyBorder="1" applyProtection="1">
      <protection locked="0"/>
    </xf>
    <xf numFmtId="2" fontId="23" fillId="0" borderId="0" xfId="1" applyFont="1"/>
    <xf numFmtId="186" fontId="2" fillId="0" borderId="0" xfId="1" applyNumberFormat="1" applyFont="1" applyAlignment="1">
      <alignment horizontal="center"/>
    </xf>
    <xf numFmtId="186" fontId="8" fillId="0" borderId="0" xfId="1" applyNumberFormat="1" applyFont="1" applyAlignment="1">
      <alignment horizontal="center"/>
    </xf>
    <xf numFmtId="2" fontId="24" fillId="0" borderId="0" xfId="1" applyFont="1"/>
    <xf numFmtId="183" fontId="24" fillId="0" borderId="0" xfId="1" applyNumberFormat="1" applyFont="1" applyAlignment="1">
      <alignment horizontal="center"/>
    </xf>
    <xf numFmtId="179" fontId="0" fillId="0" borderId="5" xfId="0" applyNumberFormat="1" applyBorder="1"/>
    <xf numFmtId="2" fontId="5" fillId="0" borderId="16" xfId="1" applyNumberFormat="1" applyFont="1" applyBorder="1" applyProtection="1">
      <protection locked="0"/>
    </xf>
    <xf numFmtId="176" fontId="5" fillId="0" borderId="17" xfId="2" applyNumberFormat="1" applyFont="1" applyBorder="1" applyProtection="1">
      <protection locked="0"/>
    </xf>
    <xf numFmtId="176" fontId="5" fillId="0" borderId="18" xfId="2" applyNumberFormat="1" applyFont="1" applyBorder="1" applyProtection="1">
      <protection locked="0"/>
    </xf>
    <xf numFmtId="2" fontId="5" fillId="0" borderId="7" xfId="1" applyNumberFormat="1" applyFont="1" applyBorder="1" applyAlignment="1" applyProtection="1">
      <alignment horizontal="left"/>
      <protection locked="0"/>
    </xf>
    <xf numFmtId="176" fontId="5" fillId="0" borderId="7" xfId="2" applyNumberFormat="1" applyFont="1" applyBorder="1" applyProtection="1">
      <protection locked="0"/>
    </xf>
    <xf numFmtId="176" fontId="5" fillId="0" borderId="19" xfId="2" applyNumberFormat="1" applyFont="1" applyBorder="1" applyProtection="1">
      <protection locked="0"/>
    </xf>
    <xf numFmtId="2" fontId="2" fillId="0" borderId="3" xfId="1" applyNumberFormat="1" applyFont="1" applyBorder="1" applyAlignment="1" applyProtection="1">
      <alignment horizontal="center"/>
    </xf>
    <xf numFmtId="2" fontId="2" fillId="0" borderId="14" xfId="1" applyNumberFormat="1" applyFont="1" applyBorder="1" applyAlignment="1" applyProtection="1">
      <alignment horizontal="center"/>
    </xf>
    <xf numFmtId="177" fontId="2" fillId="0" borderId="4" xfId="1" applyNumberFormat="1" applyFont="1" applyBorder="1" applyAlignment="1" applyProtection="1">
      <alignment horizontal="center"/>
    </xf>
    <xf numFmtId="2" fontId="2" fillId="0" borderId="4" xfId="1" applyNumberFormat="1" applyFont="1" applyBorder="1" applyAlignment="1" applyProtection="1">
      <alignment horizontal="center"/>
    </xf>
    <xf numFmtId="176" fontId="2" fillId="0" borderId="5" xfId="2" applyNumberFormat="1" applyFont="1" applyBorder="1" applyAlignment="1" applyProtection="1">
      <alignment horizontal="center"/>
    </xf>
    <xf numFmtId="179" fontId="12" fillId="0" borderId="4" xfId="0" applyNumberFormat="1" applyFont="1" applyBorder="1" applyProtection="1">
      <protection locked="0"/>
    </xf>
    <xf numFmtId="187" fontId="2" fillId="0" borderId="3" xfId="1" applyNumberFormat="1" applyFont="1" applyBorder="1" applyProtection="1"/>
    <xf numFmtId="187" fontId="2" fillId="0" borderId="14" xfId="1" applyNumberFormat="1" applyFont="1" applyBorder="1" applyProtection="1"/>
    <xf numFmtId="176" fontId="2" fillId="0" borderId="3" xfId="2" applyNumberFormat="1" applyFont="1" applyBorder="1" applyProtection="1"/>
    <xf numFmtId="176" fontId="2" fillId="0" borderId="20" xfId="2" applyNumberFormat="1" applyFont="1" applyBorder="1" applyProtection="1"/>
    <xf numFmtId="176" fontId="2" fillId="0" borderId="14" xfId="2" applyNumberFormat="1" applyFont="1" applyBorder="1" applyProtection="1"/>
    <xf numFmtId="2" fontId="25" fillId="0" borderId="0" xfId="1" applyNumberFormat="1" applyFont="1" applyAlignment="1" applyProtection="1">
      <alignment horizontal="left"/>
      <protection locked="0"/>
    </xf>
    <xf numFmtId="2" fontId="26" fillId="0" borderId="0" xfId="1" applyNumberFormat="1" applyFont="1" applyAlignment="1" applyProtection="1">
      <alignment horizontal="left"/>
      <protection locked="0"/>
    </xf>
    <xf numFmtId="2" fontId="27" fillId="0" borderId="0" xfId="1" applyNumberFormat="1" applyFont="1" applyAlignment="1" applyProtection="1">
      <alignment horizontal="left"/>
      <protection locked="0"/>
    </xf>
    <xf numFmtId="0" fontId="28" fillId="0" borderId="0" xfId="0" applyFont="1"/>
    <xf numFmtId="0" fontId="29" fillId="0" borderId="0" xfId="0" applyFont="1"/>
    <xf numFmtId="2" fontId="27" fillId="0" borderId="0" xfId="1" applyFont="1"/>
    <xf numFmtId="2" fontId="2" fillId="0" borderId="3" xfId="1" applyNumberFormat="1" applyFont="1" applyBorder="1" applyProtection="1"/>
    <xf numFmtId="187" fontId="2" fillId="0" borderId="20" xfId="1" applyNumberFormat="1" applyFont="1" applyBorder="1" applyProtection="1"/>
    <xf numFmtId="2" fontId="2" fillId="0" borderId="14" xfId="1" applyNumberFormat="1" applyFont="1" applyBorder="1" applyProtection="1"/>
    <xf numFmtId="187" fontId="2" fillId="0" borderId="4" xfId="1" applyNumberFormat="1" applyFont="1" applyBorder="1" applyProtection="1"/>
    <xf numFmtId="176" fontId="2" fillId="0" borderId="5" xfId="2" applyNumberFormat="1" applyFont="1" applyBorder="1" applyProtection="1"/>
    <xf numFmtId="176" fontId="2" fillId="0" borderId="6" xfId="2" applyNumberFormat="1" applyFont="1" applyBorder="1" applyProtection="1"/>
    <xf numFmtId="176" fontId="2" fillId="0" borderId="4" xfId="2" applyNumberFormat="1" applyFont="1" applyBorder="1" applyProtection="1"/>
    <xf numFmtId="177" fontId="2" fillId="0" borderId="14" xfId="1" applyNumberFormat="1" applyFont="1" applyBorder="1" applyProtection="1"/>
    <xf numFmtId="40" fontId="2" fillId="0" borderId="3" xfId="2" applyNumberFormat="1" applyFont="1" applyBorder="1" applyProtection="1"/>
    <xf numFmtId="40" fontId="2" fillId="0" borderId="20" xfId="2" applyNumberFormat="1" applyFont="1" applyBorder="1" applyProtection="1"/>
    <xf numFmtId="40" fontId="2" fillId="0" borderId="14" xfId="2" applyNumberFormat="1" applyFont="1" applyBorder="1" applyProtection="1"/>
    <xf numFmtId="186" fontId="2" fillId="0" borderId="3" xfId="1" applyNumberFormat="1" applyFont="1" applyBorder="1" applyProtection="1"/>
    <xf numFmtId="186" fontId="2" fillId="0" borderId="14" xfId="1" applyNumberFormat="1" applyFont="1" applyBorder="1" applyProtection="1"/>
    <xf numFmtId="176" fontId="2" fillId="0" borderId="20" xfId="2" applyNumberFormat="1" applyFont="1" applyFill="1" applyBorder="1" applyProtection="1"/>
    <xf numFmtId="186" fontId="5" fillId="0" borderId="3" xfId="1" applyNumberFormat="1" applyFont="1" applyBorder="1" applyProtection="1">
      <protection locked="0"/>
    </xf>
    <xf numFmtId="187" fontId="5" fillId="0" borderId="3" xfId="1" applyNumberFormat="1" applyFont="1" applyBorder="1" applyProtection="1">
      <protection locked="0"/>
    </xf>
    <xf numFmtId="186" fontId="5" fillId="0" borderId="19" xfId="1" applyNumberFormat="1" applyFont="1" applyBorder="1" applyProtection="1">
      <protection locked="0"/>
    </xf>
    <xf numFmtId="2" fontId="5" fillId="0" borderId="7" xfId="1" applyNumberFormat="1" applyFont="1" applyBorder="1" applyAlignment="1" applyProtection="1">
      <alignment horizontal="right"/>
      <protection locked="0"/>
    </xf>
    <xf numFmtId="2" fontId="5" fillId="0" borderId="7" xfId="1" applyNumberFormat="1" applyFont="1" applyBorder="1" applyAlignment="1" applyProtection="1">
      <alignment horizontal="center"/>
      <protection locked="0"/>
    </xf>
    <xf numFmtId="187" fontId="2" fillId="0" borderId="5" xfId="1" applyNumberFormat="1" applyFont="1" applyBorder="1" applyProtection="1"/>
    <xf numFmtId="187" fontId="2" fillId="0" borderId="6" xfId="1" applyNumberFormat="1" applyFont="1" applyBorder="1" applyProtection="1"/>
    <xf numFmtId="177" fontId="2" fillId="0" borderId="4" xfId="1" applyNumberFormat="1" applyFont="1" applyBorder="1" applyProtection="1"/>
    <xf numFmtId="40" fontId="2" fillId="0" borderId="5" xfId="2" applyNumberFormat="1" applyFont="1" applyBorder="1" applyProtection="1"/>
    <xf numFmtId="40" fontId="2" fillId="0" borderId="6" xfId="2" applyNumberFormat="1" applyFont="1" applyBorder="1" applyProtection="1"/>
    <xf numFmtId="40" fontId="2" fillId="0" borderId="4" xfId="2" applyNumberFormat="1" applyFont="1" applyBorder="1" applyProtection="1"/>
    <xf numFmtId="2" fontId="2" fillId="0" borderId="21" xfId="1" applyNumberFormat="1" applyFont="1" applyBorder="1" applyAlignment="1" applyProtection="1">
      <alignment horizontal="center"/>
    </xf>
    <xf numFmtId="186" fontId="2" fillId="0" borderId="21" xfId="1" applyNumberFormat="1" applyFont="1" applyBorder="1" applyProtection="1"/>
    <xf numFmtId="1" fontId="2" fillId="0" borderId="22" xfId="1" applyNumberFormat="1" applyFont="1" applyBorder="1" applyProtection="1"/>
    <xf numFmtId="2" fontId="2" fillId="0" borderId="23" xfId="1" applyNumberFormat="1" applyFont="1" applyBorder="1" applyProtection="1"/>
    <xf numFmtId="1" fontId="2" fillId="0" borderId="24" xfId="2" applyNumberFormat="1" applyFont="1" applyBorder="1" applyProtection="1"/>
    <xf numFmtId="186" fontId="2" fillId="0" borderId="25" xfId="2" applyNumberFormat="1" applyFont="1" applyFill="1" applyBorder="1" applyProtection="1"/>
    <xf numFmtId="186" fontId="2" fillId="0" borderId="23" xfId="2" applyNumberFormat="1" applyFont="1" applyBorder="1" applyProtection="1"/>
    <xf numFmtId="2" fontId="2" fillId="0" borderId="26" xfId="1" applyNumberFormat="1" applyFont="1" applyBorder="1" applyAlignment="1" applyProtection="1">
      <alignment horizontal="center"/>
    </xf>
    <xf numFmtId="186" fontId="2" fillId="0" borderId="27" xfId="1" applyNumberFormat="1" applyFont="1" applyBorder="1" applyProtection="1"/>
    <xf numFmtId="186" fontId="5" fillId="0" borderId="27" xfId="1" applyNumberFormat="1" applyFont="1" applyBorder="1" applyProtection="1">
      <protection locked="0"/>
    </xf>
    <xf numFmtId="0" fontId="2" fillId="0" borderId="28" xfId="1" applyNumberFormat="1" applyFont="1" applyBorder="1" applyProtection="1"/>
    <xf numFmtId="38" fontId="5" fillId="0" borderId="27" xfId="2" applyFont="1" applyBorder="1" applyProtection="1">
      <protection locked="0"/>
    </xf>
    <xf numFmtId="176" fontId="5" fillId="0" borderId="29" xfId="2" applyNumberFormat="1" applyFont="1" applyFill="1" applyBorder="1" applyProtection="1">
      <protection locked="0"/>
    </xf>
    <xf numFmtId="186" fontId="5" fillId="0" borderId="30" xfId="1" applyNumberFormat="1" applyFont="1" applyBorder="1" applyProtection="1">
      <protection locked="0"/>
    </xf>
    <xf numFmtId="2" fontId="2" fillId="0" borderId="0" xfId="1" applyNumberFormat="1" applyFont="1" applyBorder="1" applyAlignment="1" applyProtection="1">
      <alignment horizontal="center"/>
    </xf>
    <xf numFmtId="186" fontId="2" fillId="0" borderId="0" xfId="1" applyNumberFormat="1" applyFont="1" applyBorder="1" applyProtection="1"/>
    <xf numFmtId="186" fontId="36" fillId="0" borderId="0" xfId="1" applyNumberFormat="1" applyFont="1" applyBorder="1" applyProtection="1"/>
    <xf numFmtId="186" fontId="5" fillId="0" borderId="0" xfId="1" applyNumberFormat="1" applyFont="1" applyBorder="1" applyProtection="1">
      <protection locked="0"/>
    </xf>
    <xf numFmtId="186" fontId="2" fillId="0" borderId="31" xfId="1" applyNumberFormat="1" applyFont="1" applyBorder="1" applyAlignment="1" applyProtection="1">
      <alignment horizontal="right"/>
    </xf>
    <xf numFmtId="186" fontId="5" fillId="0" borderId="32" xfId="1" applyNumberFormat="1" applyFont="1" applyBorder="1" applyProtection="1">
      <protection locked="0"/>
    </xf>
    <xf numFmtId="2" fontId="5" fillId="4" borderId="33" xfId="1" applyNumberFormat="1" applyFont="1" applyFill="1" applyBorder="1" applyProtection="1">
      <protection locked="0"/>
    </xf>
    <xf numFmtId="188" fontId="5" fillId="2" borderId="34" xfId="2" applyNumberFormat="1" applyFont="1" applyFill="1" applyBorder="1" applyProtection="1">
      <protection locked="0"/>
    </xf>
    <xf numFmtId="186" fontId="35" fillId="0" borderId="0" xfId="1" applyNumberFormat="1" applyFont="1" applyBorder="1" applyProtection="1">
      <protection locked="0"/>
    </xf>
    <xf numFmtId="186" fontId="2" fillId="0" borderId="31" xfId="1" applyNumberFormat="1" applyFont="1" applyBorder="1" applyProtection="1"/>
    <xf numFmtId="2" fontId="37" fillId="0" borderId="0" xfId="1" applyNumberFormat="1" applyFont="1" applyProtection="1">
      <protection locked="0"/>
    </xf>
    <xf numFmtId="2" fontId="38" fillId="0" borderId="0" xfId="1" applyFont="1"/>
    <xf numFmtId="2" fontId="2" fillId="0" borderId="35" xfId="1" applyNumberFormat="1" applyFont="1" applyBorder="1" applyAlignment="1" applyProtection="1">
      <alignment horizontal="left"/>
    </xf>
    <xf numFmtId="2" fontId="5" fillId="0" borderId="35" xfId="1" applyNumberFormat="1" applyFont="1" applyBorder="1" applyProtection="1">
      <protection locked="0"/>
    </xf>
    <xf numFmtId="1" fontId="2" fillId="0" borderId="35" xfId="1" applyNumberFormat="1" applyFont="1" applyBorder="1" applyProtection="1"/>
    <xf numFmtId="186" fontId="39" fillId="0" borderId="0" xfId="1" applyNumberFormat="1" applyFont="1" applyProtection="1">
      <protection locked="0"/>
    </xf>
    <xf numFmtId="186" fontId="5" fillId="0" borderId="0" xfId="1" applyNumberFormat="1" applyFont="1" applyProtection="1">
      <protection locked="0"/>
    </xf>
    <xf numFmtId="186" fontId="40" fillId="0" borderId="0" xfId="1" applyNumberFormat="1" applyFont="1" applyProtection="1">
      <protection locked="0"/>
    </xf>
    <xf numFmtId="2" fontId="41" fillId="0" borderId="36" xfId="1" applyFont="1" applyBorder="1"/>
    <xf numFmtId="180" fontId="42" fillId="0" borderId="37" xfId="1" applyNumberFormat="1" applyFont="1" applyBorder="1"/>
    <xf numFmtId="181" fontId="42" fillId="0" borderId="36" xfId="1" applyNumberFormat="1" applyFont="1" applyBorder="1"/>
    <xf numFmtId="181" fontId="42" fillId="0" borderId="17" xfId="1" applyNumberFormat="1" applyFont="1" applyBorder="1"/>
    <xf numFmtId="184" fontId="42" fillId="0" borderId="36" xfId="1" applyNumberFormat="1" applyFont="1" applyBorder="1"/>
    <xf numFmtId="184" fontId="42" fillId="0" borderId="17" xfId="1" applyNumberFormat="1" applyFont="1" applyBorder="1"/>
    <xf numFmtId="180" fontId="42" fillId="0" borderId="38" xfId="1" applyNumberFormat="1" applyFont="1" applyBorder="1"/>
    <xf numFmtId="180" fontId="42" fillId="0" borderId="36" xfId="1" applyNumberFormat="1" applyFont="1" applyBorder="1" applyAlignment="1"/>
    <xf numFmtId="186" fontId="42" fillId="0" borderId="3" xfId="1" applyNumberFormat="1" applyFont="1" applyBorder="1" applyAlignment="1" applyProtection="1">
      <alignment horizontal="right"/>
      <protection locked="0"/>
    </xf>
    <xf numFmtId="186" fontId="42" fillId="0" borderId="14" xfId="1" applyNumberFormat="1" applyFont="1" applyBorder="1" applyAlignment="1" applyProtection="1">
      <alignment horizontal="right"/>
      <protection locked="0"/>
    </xf>
    <xf numFmtId="186" fontId="42" fillId="0" borderId="7" xfId="1" applyNumberFormat="1" applyFont="1" applyBorder="1" applyAlignment="1" applyProtection="1">
      <alignment horizontal="right"/>
      <protection locked="0"/>
    </xf>
    <xf numFmtId="186" fontId="42" fillId="0" borderId="11" xfId="1" applyNumberFormat="1" applyFont="1" applyBorder="1" applyAlignment="1" applyProtection="1">
      <alignment horizontal="right"/>
      <protection locked="0"/>
    </xf>
    <xf numFmtId="0" fontId="0" fillId="0" borderId="14" xfId="0" applyBorder="1" applyAlignment="1"/>
    <xf numFmtId="2" fontId="43" fillId="0" borderId="0" xfId="1" applyFont="1"/>
    <xf numFmtId="2" fontId="5" fillId="0" borderId="0" xfId="1" applyNumberFormat="1" applyFont="1" applyFill="1" applyBorder="1" applyProtection="1">
      <protection locked="0"/>
    </xf>
    <xf numFmtId="2" fontId="5" fillId="0" borderId="0" xfId="1" applyNumberFormat="1" applyFont="1" applyFill="1" applyBorder="1" applyAlignment="1" applyProtection="1">
      <alignment horizontal="right"/>
      <protection locked="0"/>
    </xf>
    <xf numFmtId="186" fontId="5" fillId="0" borderId="0" xfId="1" applyNumberFormat="1" applyFont="1" applyFill="1" applyBorder="1" applyAlignment="1" applyProtection="1">
      <alignment horizontal="center"/>
      <protection locked="0"/>
    </xf>
    <xf numFmtId="176" fontId="35" fillId="0" borderId="0" xfId="2" applyNumberFormat="1" applyFont="1" applyFill="1" applyBorder="1" applyProtection="1">
      <protection locked="0"/>
    </xf>
    <xf numFmtId="2" fontId="5" fillId="0" borderId="0" xfId="1" applyNumberFormat="1" applyFont="1" applyFill="1" applyProtection="1">
      <protection locked="0"/>
    </xf>
    <xf numFmtId="40" fontId="35" fillId="0" borderId="12" xfId="2" applyNumberFormat="1" applyFont="1" applyFill="1" applyBorder="1" applyProtection="1">
      <protection locked="0"/>
    </xf>
    <xf numFmtId="2" fontId="5" fillId="0" borderId="5" xfId="1" applyNumberFormat="1" applyFont="1" applyBorder="1" applyProtection="1">
      <protection locked="0"/>
    </xf>
    <xf numFmtId="2" fontId="5" fillId="0" borderId="27" xfId="1" applyNumberFormat="1" applyFont="1" applyBorder="1" applyProtection="1">
      <protection locked="0"/>
    </xf>
    <xf numFmtId="2" fontId="5" fillId="0" borderId="30" xfId="1" applyNumberFormat="1" applyFont="1" applyBorder="1" applyProtection="1">
      <protection locked="0"/>
    </xf>
    <xf numFmtId="186" fontId="5" fillId="0" borderId="4" xfId="1" applyNumberFormat="1" applyFont="1" applyBorder="1" applyProtection="1">
      <protection locked="0"/>
    </xf>
    <xf numFmtId="2" fontId="8" fillId="5" borderId="8" xfId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2" fontId="2" fillId="4" borderId="1" xfId="1" applyNumberFormat="1" applyFont="1" applyFill="1" applyBorder="1" applyAlignment="1" applyProtection="1">
      <alignment horizontal="center"/>
    </xf>
    <xf numFmtId="0" fontId="5" fillId="0" borderId="2" xfId="2" applyNumberFormat="1" applyFont="1" applyBorder="1" applyAlignment="1" applyProtection="1">
      <alignment horizontal="center" shrinkToFit="1"/>
      <protection locked="0"/>
    </xf>
    <xf numFmtId="2" fontId="11" fillId="0" borderId="7" xfId="1" applyFont="1" applyBorder="1" applyAlignment="1">
      <alignment horizontal="left" shrinkToFit="1"/>
    </xf>
    <xf numFmtId="2" fontId="8" fillId="0" borderId="0" xfId="1" applyFont="1" applyAlignment="1">
      <alignment horizontal="center" vertical="center"/>
    </xf>
    <xf numFmtId="2" fontId="8" fillId="0" borderId="9" xfId="1" applyFont="1" applyBorder="1" applyAlignment="1">
      <alignment horizontal="center" vertical="center"/>
    </xf>
    <xf numFmtId="2" fontId="14" fillId="0" borderId="0" xfId="1" applyFont="1" applyFill="1" applyBorder="1" applyAlignment="1">
      <alignment horizontal="left" vertical="center"/>
    </xf>
  </cellXfs>
  <cellStyles count="4">
    <cellStyle name="桁区切り 2" xfId="2"/>
    <cellStyle name="標準" xfId="0" builtinId="0"/>
    <cellStyle name="標準 2" xfId="3"/>
    <cellStyle name="標準_ﾊﾞﾀｰﾛｰﾙ生地" xfId="1"/>
  </cellStyles>
  <dxfs count="11">
    <dxf>
      <font>
        <color rgb="FFFF0000"/>
      </font>
      <fill>
        <patternFill>
          <bgColor rgb="FFFFFF0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95250</xdr:colOff>
      <xdr:row>1</xdr:row>
      <xdr:rowOff>81643</xdr:rowOff>
    </xdr:from>
    <xdr:to>
      <xdr:col>30</xdr:col>
      <xdr:colOff>136072</xdr:colOff>
      <xdr:row>4</xdr:row>
      <xdr:rowOff>40821</xdr:rowOff>
    </xdr:to>
    <xdr:sp macro="" textlink="">
      <xdr:nvSpPr>
        <xdr:cNvPr id="2" name="角丸四角形 1"/>
        <xdr:cNvSpPr/>
      </xdr:nvSpPr>
      <xdr:spPr bwMode="auto">
        <a:xfrm>
          <a:off x="12934950" y="287383"/>
          <a:ext cx="2258242" cy="576398"/>
        </a:xfrm>
        <a:prstGeom prst="roundRect">
          <a:avLst/>
        </a:prstGeom>
        <a:solidFill>
          <a:srgbClr val="FF0000"/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2800" b="1">
              <a:solidFill>
                <a:schemeClr val="bg1"/>
              </a:solidFill>
            </a:rPr>
            <a:t>強調表示</a:t>
          </a:r>
          <a:endParaRPr kumimoji="1" lang="en-US" altLang="ja-JP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141515</xdr:colOff>
      <xdr:row>0</xdr:row>
      <xdr:rowOff>97971</xdr:rowOff>
    </xdr:from>
    <xdr:to>
      <xdr:col>6</xdr:col>
      <xdr:colOff>174172</xdr:colOff>
      <xdr:row>1</xdr:row>
      <xdr:rowOff>152399</xdr:rowOff>
    </xdr:to>
    <xdr:sp macro="" textlink="">
      <xdr:nvSpPr>
        <xdr:cNvPr id="3" name="正方形/長方形 2"/>
        <xdr:cNvSpPr/>
      </xdr:nvSpPr>
      <xdr:spPr>
        <a:xfrm>
          <a:off x="1426029" y="97971"/>
          <a:ext cx="3429000" cy="261257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　糖質の値はｴﾘｽﾘﾄｰﾙ込みの値を入力してください。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tabColor rgb="FFFF99CC"/>
  </sheetPr>
  <dimension ref="A1:AO120"/>
  <sheetViews>
    <sheetView showGridLines="0" tabSelected="1" zoomScale="70" zoomScaleNormal="70" workbookViewId="0">
      <selection activeCell="I5" sqref="I5"/>
    </sheetView>
  </sheetViews>
  <sheetFormatPr defaultColWidth="10.6640625" defaultRowHeight="16.2" x14ac:dyDescent="0.2"/>
  <cols>
    <col min="1" max="1" width="18.6640625" style="4" customWidth="1"/>
    <col min="2" max="2" width="8.44140625" style="4" customWidth="1"/>
    <col min="3" max="5" width="9.6640625" style="4" customWidth="1"/>
    <col min="6" max="6" width="12" style="4" customWidth="1"/>
    <col min="7" max="8" width="9.6640625" style="4" customWidth="1"/>
    <col min="9" max="10" width="11.21875" style="4" customWidth="1"/>
    <col min="11" max="11" width="11.77734375" style="4" customWidth="1"/>
    <col min="12" max="14" width="11.21875" style="16" customWidth="1"/>
    <col min="15" max="15" width="10.6640625" style="4"/>
    <col min="16" max="16" width="4.21875" style="4" customWidth="1"/>
    <col min="17" max="25" width="1.109375" style="4" customWidth="1"/>
    <col min="26" max="26" width="7" style="4" customWidth="1"/>
    <col min="27" max="27" width="18.88671875" style="4" customWidth="1"/>
    <col min="28" max="28" width="3.44140625" style="4" customWidth="1"/>
    <col min="29" max="29" width="3.88671875" style="4" customWidth="1"/>
    <col min="30" max="30" width="6.109375" style="4" bestFit="1" customWidth="1"/>
    <col min="31" max="31" width="26.88671875" style="4" bestFit="1" customWidth="1"/>
    <col min="32" max="32" width="4.44140625" style="4" customWidth="1"/>
    <col min="33" max="33" width="12.6640625" style="4" customWidth="1"/>
    <col min="34" max="34" width="12.77734375" style="4" customWidth="1"/>
    <col min="35" max="36" width="12.33203125" style="4" customWidth="1"/>
    <col min="37" max="37" width="14.77734375" style="4" bestFit="1" customWidth="1"/>
    <col min="38" max="43" width="4" style="4" customWidth="1"/>
    <col min="44" max="16384" width="10.6640625" style="4"/>
  </cols>
  <sheetData>
    <row r="1" spans="1:3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AA1" s="5" t="s">
        <v>1</v>
      </c>
    </row>
    <row r="2" spans="1:37" x14ac:dyDescent="0.2">
      <c r="A2" s="6" t="s">
        <v>2</v>
      </c>
      <c r="B2" s="2"/>
      <c r="C2" s="213"/>
      <c r="D2" s="213"/>
      <c r="E2" s="213"/>
      <c r="F2" s="213"/>
      <c r="G2" s="2"/>
      <c r="H2" s="2"/>
      <c r="I2" s="2"/>
      <c r="J2" s="2"/>
      <c r="K2" s="2"/>
      <c r="L2" s="3"/>
      <c r="M2" s="3"/>
      <c r="N2" s="3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7" x14ac:dyDescent="0.2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7" x14ac:dyDescent="0.2">
      <c r="A4" s="8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7" x14ac:dyDescent="0.2">
      <c r="A5" s="221" t="s">
        <v>5</v>
      </c>
      <c r="B5" s="221"/>
      <c r="C5" s="221"/>
      <c r="D5" s="221"/>
      <c r="E5" s="221"/>
      <c r="F5" s="9" t="s">
        <v>6</v>
      </c>
      <c r="G5" s="9" t="s">
        <v>7</v>
      </c>
      <c r="H5" s="9" t="s">
        <v>8</v>
      </c>
      <c r="I5" s="10" t="s">
        <v>84</v>
      </c>
      <c r="J5" s="2"/>
      <c r="K5" s="2" t="s">
        <v>9</v>
      </c>
      <c r="L5" s="3"/>
      <c r="M5" s="11" t="s">
        <v>10</v>
      </c>
      <c r="N5" s="3"/>
      <c r="AA5" s="7"/>
      <c r="AB5" s="7"/>
      <c r="AC5" s="7"/>
      <c r="AD5" s="7"/>
      <c r="AE5" s="7"/>
      <c r="AF5" s="7"/>
      <c r="AG5" s="7"/>
      <c r="AH5" s="7"/>
      <c r="AI5" s="7" t="str">
        <f>$I$5</f>
        <v>年月日</v>
      </c>
      <c r="AJ5" s="7"/>
    </row>
    <row r="6" spans="1:37" ht="21" x14ac:dyDescent="0.25">
      <c r="A6" s="222"/>
      <c r="B6" s="222"/>
      <c r="C6" s="222"/>
      <c r="D6" s="222"/>
      <c r="E6" s="222"/>
      <c r="F6" s="12"/>
      <c r="G6" s="13"/>
      <c r="H6" s="14"/>
      <c r="I6" s="15"/>
      <c r="J6" s="15"/>
      <c r="K6" s="15" t="s">
        <v>11</v>
      </c>
      <c r="L6" s="11"/>
      <c r="M6" s="16" t="s">
        <v>12</v>
      </c>
      <c r="N6" s="11"/>
      <c r="AA6" s="7"/>
      <c r="AB6" s="7"/>
      <c r="AC6" s="7"/>
      <c r="AD6" s="7"/>
      <c r="AE6" s="7"/>
      <c r="AF6" s="17"/>
      <c r="AG6" s="17"/>
      <c r="AH6" s="7"/>
      <c r="AI6" s="7"/>
      <c r="AJ6" s="7"/>
    </row>
    <row r="7" spans="1:37" ht="23.4" x14ac:dyDescent="0.3">
      <c r="A7" s="18" t="s">
        <v>13</v>
      </c>
      <c r="B7" s="18" t="s">
        <v>14</v>
      </c>
      <c r="C7" s="18" t="s">
        <v>15</v>
      </c>
      <c r="D7" s="18" t="s">
        <v>16</v>
      </c>
      <c r="E7" s="18" t="s">
        <v>17</v>
      </c>
      <c r="F7" s="18" t="s">
        <v>18</v>
      </c>
      <c r="G7" s="18" t="s">
        <v>19</v>
      </c>
      <c r="H7" s="18" t="s">
        <v>20</v>
      </c>
      <c r="I7" s="19" t="s">
        <v>21</v>
      </c>
      <c r="J7" s="20" t="s">
        <v>22</v>
      </c>
      <c r="K7" s="19" t="s">
        <v>23</v>
      </c>
      <c r="L7" s="21" t="s">
        <v>24</v>
      </c>
      <c r="M7" s="22" t="s">
        <v>25</v>
      </c>
      <c r="N7" s="23"/>
      <c r="AA7" s="24" t="s">
        <v>26</v>
      </c>
      <c r="AB7" s="223" t="e">
        <f>IF(COUNTIF($F$6,"1"),CONCATENATE($A$6,"(",$H$6,")"),CONCATENATE($A$6,$F$6,$G$6,"入","(",$H$6,")"))</f>
        <v>#VALUE!</v>
      </c>
      <c r="AC7" s="223"/>
      <c r="AD7" s="223"/>
      <c r="AE7" s="223"/>
      <c r="AF7" s="223"/>
      <c r="AG7" s="223"/>
      <c r="AH7" s="223"/>
      <c r="AI7" s="223"/>
      <c r="AJ7" s="7"/>
    </row>
    <row r="8" spans="1:37" x14ac:dyDescent="0.2">
      <c r="A8" s="25"/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8"/>
      <c r="N8" s="29"/>
      <c r="O8" s="4">
        <f>SUM(C8:H8)</f>
        <v>0</v>
      </c>
      <c r="AB8" s="7"/>
    </row>
    <row r="9" spans="1:37" x14ac:dyDescent="0.2">
      <c r="A9" s="30"/>
      <c r="B9" s="31"/>
      <c r="C9" s="29"/>
      <c r="D9" s="29"/>
      <c r="E9" s="29"/>
      <c r="F9" s="29"/>
      <c r="G9" s="29"/>
      <c r="H9" s="29"/>
      <c r="I9" s="29"/>
      <c r="J9" s="29"/>
      <c r="K9" s="29"/>
      <c r="L9" s="29"/>
      <c r="M9" s="32"/>
      <c r="N9" s="29"/>
      <c r="O9" s="4">
        <f>SUM(C9:H9)</f>
        <v>0</v>
      </c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7" x14ac:dyDescent="0.2">
      <c r="A10" s="30"/>
      <c r="B10" s="3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32"/>
      <c r="N10" s="29"/>
      <c r="O10" s="4">
        <f>SUM(C10:H10)</f>
        <v>0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7" x14ac:dyDescent="0.2">
      <c r="A11" s="30"/>
      <c r="B11" s="31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2"/>
      <c r="N11" s="29"/>
      <c r="O11" s="4">
        <f t="shared" ref="O11:O37" si="0">SUM(C11:H11)</f>
        <v>0</v>
      </c>
      <c r="AB11" s="7"/>
      <c r="AC11" s="7"/>
      <c r="AD11" s="7"/>
      <c r="AE11" s="7"/>
      <c r="AF11" s="7"/>
      <c r="AG11" s="7"/>
      <c r="AH11" s="7"/>
      <c r="AI11" s="7"/>
      <c r="AJ11" s="7"/>
    </row>
    <row r="12" spans="1:37" ht="24.75" customHeight="1" x14ac:dyDescent="0.3">
      <c r="A12" s="30"/>
      <c r="B12" s="3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2"/>
      <c r="N12" s="29"/>
      <c r="O12" s="4">
        <f t="shared" si="0"/>
        <v>0</v>
      </c>
      <c r="AA12" s="24" t="s">
        <v>27</v>
      </c>
      <c r="AB12" s="7"/>
      <c r="AC12" s="7"/>
      <c r="AD12" s="33"/>
      <c r="AE12" s="224" t="s">
        <v>28</v>
      </c>
      <c r="AF12" s="34"/>
      <c r="AG12" s="226" t="e">
        <f>"1"&amp;$G$6&amp;"当たり"</f>
        <v>#VALUE!</v>
      </c>
      <c r="AH12" s="226"/>
      <c r="AI12" s="226"/>
      <c r="AJ12" s="35"/>
      <c r="AK12" s="219" t="s">
        <v>29</v>
      </c>
    </row>
    <row r="13" spans="1:37" ht="24.6" x14ac:dyDescent="0.3">
      <c r="A13" s="30"/>
      <c r="B13" s="31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32"/>
      <c r="N13" s="29"/>
      <c r="O13" s="4">
        <f t="shared" si="0"/>
        <v>0</v>
      </c>
      <c r="AA13" s="7"/>
      <c r="AB13" s="7"/>
      <c r="AC13" s="7"/>
      <c r="AD13" s="36"/>
      <c r="AE13" s="225"/>
      <c r="AF13" s="33"/>
      <c r="AG13" s="37">
        <f>IF((COUNTIF($A$6,"*7P*")+COUNTIF($A$6,"*ｾﾌﾞﾝﾌﾟﾚﾐｱﾑ*")),$B$106,ROUND($B$102,0))</f>
        <v>100</v>
      </c>
      <c r="AH13" s="38" t="s">
        <v>30</v>
      </c>
      <c r="AI13" s="39"/>
      <c r="AJ13" s="40"/>
      <c r="AK13" s="219"/>
    </row>
    <row r="14" spans="1:37" s="41" customFormat="1" ht="22.8" x14ac:dyDescent="0.3">
      <c r="A14" s="30"/>
      <c r="B14" s="31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32"/>
      <c r="N14" s="29"/>
      <c r="O14" s="4">
        <f t="shared" si="0"/>
        <v>0</v>
      </c>
      <c r="P14" s="4"/>
      <c r="AA14" s="42" t="str">
        <f>IF(COUNTIF(A6,"*FM*"),"熱量","エネルギー")</f>
        <v>エネルギー</v>
      </c>
      <c r="AB14" s="43"/>
      <c r="AC14" s="44"/>
      <c r="AD14" s="44"/>
      <c r="AE14" s="45" t="e">
        <f>$C$108</f>
        <v>#DIV/0!</v>
      </c>
      <c r="AF14" s="46"/>
      <c r="AG14" s="45" t="e">
        <f>ROUND((AG15+AG18-AG21)*4+(AG16*9)+(AG19*2),0)</f>
        <v>#DIV/0!</v>
      </c>
      <c r="AH14" s="44" t="s">
        <v>31</v>
      </c>
      <c r="AI14" s="47"/>
      <c r="AJ14" s="43"/>
      <c r="AK14" s="48">
        <v>0</v>
      </c>
    </row>
    <row r="15" spans="1:37" ht="22.8" x14ac:dyDescent="0.3">
      <c r="A15" s="30"/>
      <c r="B15" s="31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2"/>
      <c r="N15" s="29"/>
      <c r="O15" s="4">
        <f t="shared" si="0"/>
        <v>0</v>
      </c>
      <c r="AA15" s="49" t="s">
        <v>32</v>
      </c>
      <c r="AB15" s="50"/>
      <c r="AC15" s="44"/>
      <c r="AD15" s="44"/>
      <c r="AE15" s="47">
        <f>$D$104</f>
        <v>0</v>
      </c>
      <c r="AF15" s="46"/>
      <c r="AG15" s="47">
        <f>ROUND(($AG$13*AE15)/100,1)</f>
        <v>0</v>
      </c>
      <c r="AH15" s="44" t="s">
        <v>33</v>
      </c>
      <c r="AI15" s="47"/>
      <c r="AJ15" s="50"/>
      <c r="AK15" s="48">
        <v>1</v>
      </c>
    </row>
    <row r="16" spans="1:37" ht="22.8" x14ac:dyDescent="0.3">
      <c r="A16" s="30"/>
      <c r="B16" s="31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2"/>
      <c r="N16" s="29"/>
      <c r="O16" s="41">
        <f t="shared" si="0"/>
        <v>0</v>
      </c>
      <c r="P16" s="41"/>
      <c r="AA16" s="49" t="s">
        <v>34</v>
      </c>
      <c r="AB16" s="44"/>
      <c r="AC16" s="44"/>
      <c r="AD16" s="44"/>
      <c r="AE16" s="47">
        <f>$E$104</f>
        <v>0</v>
      </c>
      <c r="AF16" s="46"/>
      <c r="AG16" s="47">
        <f>ROUND(($AG$13*AE16)/100,1)</f>
        <v>0</v>
      </c>
      <c r="AH16" s="44" t="s">
        <v>33</v>
      </c>
      <c r="AI16" s="47"/>
      <c r="AJ16" s="50"/>
      <c r="AK16" s="48">
        <v>1</v>
      </c>
    </row>
    <row r="17" spans="1:41" ht="22.8" x14ac:dyDescent="0.3">
      <c r="A17" s="30"/>
      <c r="B17" s="31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2"/>
      <c r="N17" s="29"/>
      <c r="O17" s="4">
        <f t="shared" si="0"/>
        <v>0</v>
      </c>
      <c r="AA17" s="49" t="s">
        <v>35</v>
      </c>
      <c r="AB17" s="50"/>
      <c r="AC17" s="44"/>
      <c r="AD17" s="44"/>
      <c r="AE17" s="47" t="e">
        <f>$F$106</f>
        <v>#DIV/0!</v>
      </c>
      <c r="AF17" s="46"/>
      <c r="AG17" s="47" t="e">
        <f>AG18+AG19</f>
        <v>#DIV/0!</v>
      </c>
      <c r="AH17" s="44" t="s">
        <v>33</v>
      </c>
      <c r="AI17" s="47"/>
      <c r="AJ17" s="50"/>
      <c r="AK17" s="48">
        <v>1</v>
      </c>
    </row>
    <row r="18" spans="1:41" ht="22.8" x14ac:dyDescent="0.3">
      <c r="A18" s="30"/>
      <c r="B18" s="31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2"/>
      <c r="N18" s="29"/>
      <c r="O18" s="4">
        <f t="shared" si="0"/>
        <v>0</v>
      </c>
      <c r="AA18" s="51" t="s">
        <v>36</v>
      </c>
      <c r="AB18" s="50"/>
      <c r="AC18" s="44"/>
      <c r="AD18" s="44"/>
      <c r="AE18" s="52" t="e">
        <f>$F$104</f>
        <v>#DIV/0!</v>
      </c>
      <c r="AF18" s="53"/>
      <c r="AG18" s="54" t="e">
        <f>ROUND(($AG$13*AE18)/100,1)</f>
        <v>#DIV/0!</v>
      </c>
      <c r="AH18" s="44" t="s">
        <v>33</v>
      </c>
      <c r="AI18" s="55"/>
      <c r="AJ18" s="50"/>
      <c r="AK18" s="48">
        <v>1</v>
      </c>
    </row>
    <row r="19" spans="1:41" ht="22.8" x14ac:dyDescent="0.3">
      <c r="A19" s="30"/>
      <c r="B19" s="31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2"/>
      <c r="N19" s="29"/>
      <c r="O19" s="4">
        <f t="shared" si="0"/>
        <v>0</v>
      </c>
      <c r="AA19" s="56" t="s">
        <v>37</v>
      </c>
      <c r="AB19" s="50"/>
      <c r="AC19" s="57"/>
      <c r="AD19" s="44"/>
      <c r="AE19" s="47">
        <f>$G$104</f>
        <v>0</v>
      </c>
      <c r="AF19" s="46"/>
      <c r="AG19" s="47">
        <f>ROUND(($AG$13*AE19)/100,1)</f>
        <v>0</v>
      </c>
      <c r="AH19" s="57" t="s">
        <v>33</v>
      </c>
      <c r="AI19" s="55"/>
      <c r="AJ19" s="50"/>
      <c r="AK19" s="48">
        <v>1</v>
      </c>
    </row>
    <row r="20" spans="1:41" ht="22.8" x14ac:dyDescent="0.3">
      <c r="A20" s="30"/>
      <c r="B20" s="3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2"/>
      <c r="N20" s="29"/>
      <c r="O20" s="4">
        <f t="shared" si="0"/>
        <v>0</v>
      </c>
      <c r="AA20" s="49" t="s">
        <v>38</v>
      </c>
      <c r="AB20" s="50"/>
      <c r="AC20" s="44"/>
      <c r="AD20" s="44"/>
      <c r="AE20" s="58">
        <f>IF($AE$24&lt;4.5,0,ROUND($AE$24/1000*2.54,2))</f>
        <v>0</v>
      </c>
      <c r="AF20" s="46"/>
      <c r="AG20" s="58">
        <f>IF($AE$24&lt;4.5,0,ROUND($AG$24/1000*2.54,2))</f>
        <v>0</v>
      </c>
      <c r="AH20" s="44" t="s">
        <v>33</v>
      </c>
      <c r="AI20" s="55"/>
      <c r="AJ20" s="50"/>
      <c r="AK20" s="48">
        <f>IF($AE$24&lt;4.5,0,2)</f>
        <v>0</v>
      </c>
    </row>
    <row r="21" spans="1:41" ht="22.8" x14ac:dyDescent="0.3">
      <c r="A21" s="30"/>
      <c r="B21" s="3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2"/>
      <c r="N21" s="29"/>
      <c r="O21" s="4">
        <f t="shared" si="0"/>
        <v>0</v>
      </c>
      <c r="AA21" s="49" t="str">
        <f>IF($M$7="","",$M$7)</f>
        <v>ｴﾘｽﾘﾄｰﾙ</v>
      </c>
      <c r="AB21" s="50"/>
      <c r="AC21" s="59"/>
      <c r="AD21" s="44"/>
      <c r="AE21" s="60">
        <f>M104</f>
        <v>0</v>
      </c>
      <c r="AF21" s="46"/>
      <c r="AG21" s="61">
        <f>ROUND(($AG$13*AE21)/100,1)</f>
        <v>0</v>
      </c>
      <c r="AH21" s="62" t="s">
        <v>39</v>
      </c>
      <c r="AI21" s="45"/>
      <c r="AJ21" s="50"/>
      <c r="AK21" s="48">
        <v>1</v>
      </c>
    </row>
    <row r="22" spans="1:41" ht="22.8" x14ac:dyDescent="0.3">
      <c r="A22" s="30"/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2"/>
      <c r="N22" s="29"/>
      <c r="O22" s="4">
        <f t="shared" si="0"/>
        <v>0</v>
      </c>
      <c r="AA22" s="49" t="str">
        <f>IF($N$7="","",$N$7)</f>
        <v/>
      </c>
      <c r="AB22" s="50"/>
      <c r="AC22" s="59"/>
      <c r="AD22" s="44"/>
      <c r="AE22" s="61">
        <f>$N$104</f>
        <v>0</v>
      </c>
      <c r="AF22" s="63"/>
      <c r="AG22" s="61">
        <f>ROUND(($AG$13*AE22)/100,1)</f>
        <v>0</v>
      </c>
      <c r="AH22" s="62" t="s">
        <v>40</v>
      </c>
      <c r="AI22" s="45"/>
      <c r="AJ22" s="50"/>
      <c r="AK22" s="48"/>
    </row>
    <row r="23" spans="1:41" ht="22.8" x14ac:dyDescent="0.3">
      <c r="A23" s="30"/>
      <c r="B23" s="3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32"/>
      <c r="N23" s="29"/>
      <c r="O23" s="4">
        <f t="shared" si="0"/>
        <v>0</v>
      </c>
      <c r="AA23" s="49"/>
      <c r="AB23" s="50"/>
      <c r="AC23" s="44"/>
      <c r="AD23" s="44"/>
      <c r="AE23" s="58"/>
      <c r="AF23" s="53"/>
      <c r="AG23" s="58"/>
      <c r="AH23" s="44"/>
      <c r="AI23" s="55"/>
      <c r="AJ23" s="50"/>
    </row>
    <row r="24" spans="1:41" ht="22.8" x14ac:dyDescent="0.3">
      <c r="A24" s="30"/>
      <c r="B24" s="3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32"/>
      <c r="N24" s="29"/>
      <c r="O24" s="4">
        <f t="shared" si="0"/>
        <v>0</v>
      </c>
      <c r="AA24" s="49" t="s">
        <v>41</v>
      </c>
      <c r="AB24" s="50"/>
      <c r="AC24" s="44"/>
      <c r="AD24" s="44"/>
      <c r="AE24" s="64">
        <f>$I$104</f>
        <v>0</v>
      </c>
      <c r="AF24" s="53"/>
      <c r="AG24" s="65">
        <f>ROUND(($AG$13*AE24)/100,0)</f>
        <v>0</v>
      </c>
      <c r="AH24" s="44" t="s">
        <v>42</v>
      </c>
      <c r="AI24" s="45"/>
      <c r="AJ24" s="50"/>
    </row>
    <row r="25" spans="1:41" ht="22.65" customHeight="1" x14ac:dyDescent="0.3">
      <c r="A25" s="30"/>
      <c r="B25" s="3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2"/>
      <c r="N25" s="29"/>
      <c r="O25" s="4">
        <f t="shared" si="0"/>
        <v>0</v>
      </c>
      <c r="AA25" s="49" t="s">
        <v>43</v>
      </c>
      <c r="AB25" s="66"/>
      <c r="AC25" s="67"/>
      <c r="AD25" s="67"/>
      <c r="AE25" s="68">
        <f>$C$104</f>
        <v>0</v>
      </c>
      <c r="AF25" s="69"/>
      <c r="AG25" s="68">
        <f>ROUND(($AG$13*AE25)/100,1)</f>
        <v>0</v>
      </c>
      <c r="AH25" s="67" t="s">
        <v>33</v>
      </c>
      <c r="AI25" s="68"/>
      <c r="AJ25" s="55"/>
    </row>
    <row r="26" spans="1:41" ht="21" x14ac:dyDescent="0.25">
      <c r="A26" s="30"/>
      <c r="B26" s="3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2"/>
      <c r="N26" s="29"/>
      <c r="O26" s="4">
        <f t="shared" si="0"/>
        <v>0</v>
      </c>
      <c r="AA26" s="49" t="s">
        <v>44</v>
      </c>
      <c r="AB26" s="66"/>
      <c r="AC26" s="67"/>
      <c r="AD26" s="67"/>
      <c r="AE26" s="68">
        <f>$H$104</f>
        <v>0</v>
      </c>
      <c r="AF26" s="69"/>
      <c r="AG26" s="68">
        <f>ROUND(($AG$13*AE26)/100,1)</f>
        <v>0</v>
      </c>
      <c r="AH26" s="67" t="s">
        <v>33</v>
      </c>
      <c r="AI26" s="68"/>
      <c r="AJ26" s="66"/>
    </row>
    <row r="27" spans="1:41" ht="22.8" x14ac:dyDescent="0.3">
      <c r="A27" s="30"/>
      <c r="B27" s="3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32"/>
      <c r="N27" s="29"/>
      <c r="O27" s="4">
        <f t="shared" si="0"/>
        <v>0</v>
      </c>
      <c r="Z27" s="4" t="str">
        <f>IF((AG27*VALUE(F6))&lt;15,"","＊1")</f>
        <v/>
      </c>
      <c r="AA27" s="49" t="s">
        <v>23</v>
      </c>
      <c r="AB27" s="44"/>
      <c r="AC27" s="44"/>
      <c r="AD27" s="44"/>
      <c r="AE27" s="58">
        <f>$K$104</f>
        <v>0</v>
      </c>
      <c r="AF27" s="70"/>
      <c r="AG27" s="58">
        <f>ROUND(($AG$13*AE27)/100,2)</f>
        <v>0</v>
      </c>
      <c r="AH27" s="44" t="s">
        <v>33</v>
      </c>
      <c r="AI27" s="55"/>
      <c r="AJ27" s="50"/>
      <c r="AK27" s="48">
        <v>2</v>
      </c>
    </row>
    <row r="28" spans="1:41" ht="22.8" x14ac:dyDescent="0.3">
      <c r="A28" s="30"/>
      <c r="B28" s="3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32"/>
      <c r="N28" s="29"/>
      <c r="O28" s="4">
        <f t="shared" si="0"/>
        <v>0</v>
      </c>
      <c r="Z28" s="4" t="str">
        <f>IF(OR(AND(AE28&gt;=0.3,AG28*VALUE(F6)&gt;=0.45),AE28&gt;=0.45),"＊2","")</f>
        <v/>
      </c>
      <c r="AA28" s="49" t="s">
        <v>45</v>
      </c>
      <c r="AB28" s="44"/>
      <c r="AC28" s="44"/>
      <c r="AD28" s="44"/>
      <c r="AE28" s="58">
        <f>$J$104</f>
        <v>0</v>
      </c>
      <c r="AF28" s="71"/>
      <c r="AG28" s="58">
        <f>ROUND(($AG$13*AE28)/100,2)</f>
        <v>0</v>
      </c>
      <c r="AH28" s="44" t="s">
        <v>33</v>
      </c>
      <c r="AI28" s="55"/>
      <c r="AJ28" s="50"/>
      <c r="AK28" s="48">
        <v>2</v>
      </c>
    </row>
    <row r="29" spans="1:41" ht="22.8" x14ac:dyDescent="0.3">
      <c r="A29" s="30"/>
      <c r="B29" s="3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2"/>
      <c r="N29" s="29"/>
      <c r="O29" s="4">
        <f t="shared" si="0"/>
        <v>0</v>
      </c>
      <c r="AA29" s="49" t="s">
        <v>46</v>
      </c>
      <c r="AB29" s="44"/>
      <c r="AC29" s="44"/>
      <c r="AD29" s="44"/>
      <c r="AE29" s="72">
        <f>$L$104</f>
        <v>0</v>
      </c>
      <c r="AF29" s="71"/>
      <c r="AG29" s="73">
        <f>ROUND(($AG$13*AE29)/100,0)</f>
        <v>0</v>
      </c>
      <c r="AH29" s="44" t="s">
        <v>42</v>
      </c>
      <c r="AI29" s="55"/>
      <c r="AJ29" s="50"/>
      <c r="AK29" s="48">
        <v>0</v>
      </c>
    </row>
    <row r="30" spans="1:41" x14ac:dyDescent="0.2">
      <c r="A30" s="30"/>
      <c r="B30" s="3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32"/>
      <c r="N30" s="29"/>
      <c r="O30" s="4">
        <f t="shared" si="0"/>
        <v>0</v>
      </c>
    </row>
    <row r="31" spans="1:41" ht="18" x14ac:dyDescent="0.2">
      <c r="A31" s="30"/>
      <c r="B31" s="3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32"/>
      <c r="N31" s="29"/>
      <c r="O31" s="4">
        <f t="shared" si="0"/>
        <v>0</v>
      </c>
      <c r="W31" s="74"/>
      <c r="AA31" s="220" t="s">
        <v>47</v>
      </c>
      <c r="AB31" s="220"/>
      <c r="AC31" s="220"/>
      <c r="AD31" s="220"/>
      <c r="AE31" s="220"/>
      <c r="AF31" s="220"/>
      <c r="AG31" s="220"/>
      <c r="AH31" s="220"/>
      <c r="AI31" s="220"/>
      <c r="AJ31" s="220"/>
      <c r="AL31" s="75"/>
      <c r="AM31" s="75"/>
      <c r="AN31" s="76"/>
      <c r="AO31" s="74"/>
    </row>
    <row r="32" spans="1:41" x14ac:dyDescent="0.2">
      <c r="A32" s="30"/>
      <c r="B32" s="3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2"/>
      <c r="N32" s="29"/>
      <c r="O32" s="4">
        <f t="shared" si="0"/>
        <v>0</v>
      </c>
      <c r="W32" s="74"/>
      <c r="AL32" s="75"/>
      <c r="AM32" s="75"/>
      <c r="AN32" s="77"/>
      <c r="AO32" s="74"/>
    </row>
    <row r="33" spans="1:41" x14ac:dyDescent="0.2">
      <c r="A33" s="30"/>
      <c r="B33" s="3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2"/>
      <c r="N33" s="29"/>
      <c r="O33" s="4">
        <f t="shared" si="0"/>
        <v>0</v>
      </c>
      <c r="W33" s="74"/>
      <c r="AL33" s="75"/>
      <c r="AM33" s="75"/>
      <c r="AN33" s="77"/>
      <c r="AO33" s="74"/>
    </row>
    <row r="34" spans="1:41" x14ac:dyDescent="0.2">
      <c r="A34" s="30"/>
      <c r="B34" s="3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32"/>
      <c r="N34" s="29"/>
      <c r="O34" s="4">
        <f t="shared" si="0"/>
        <v>0</v>
      </c>
      <c r="W34" s="74"/>
      <c r="AA34" s="78"/>
      <c r="AB34" s="7"/>
      <c r="AC34" s="7"/>
      <c r="AD34" s="7"/>
      <c r="AE34" s="7"/>
      <c r="AF34" s="7"/>
      <c r="AG34" s="7"/>
      <c r="AH34" s="7"/>
      <c r="AI34" s="7"/>
      <c r="AJ34" s="7"/>
      <c r="AL34" s="75"/>
      <c r="AM34" s="75"/>
      <c r="AN34" s="77"/>
      <c r="AO34" s="74"/>
    </row>
    <row r="35" spans="1:41" x14ac:dyDescent="0.2">
      <c r="A35" s="30"/>
      <c r="B35" s="3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4">
        <f t="shared" si="0"/>
        <v>0</v>
      </c>
      <c r="W35" s="74"/>
      <c r="AA35" s="78"/>
      <c r="AB35" s="7"/>
      <c r="AC35" s="7"/>
      <c r="AD35" s="7"/>
      <c r="AE35" s="7"/>
      <c r="AF35" s="7"/>
      <c r="AG35" s="7"/>
      <c r="AH35" s="7"/>
      <c r="AI35" s="7"/>
      <c r="AJ35" s="7"/>
      <c r="AL35" s="75"/>
      <c r="AM35" s="75"/>
      <c r="AN35" s="79"/>
      <c r="AO35" s="74"/>
    </row>
    <row r="36" spans="1:41" x14ac:dyDescent="0.2">
      <c r="A36" s="30"/>
      <c r="B36" s="3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4">
        <f t="shared" si="0"/>
        <v>0</v>
      </c>
      <c r="S36" s="74"/>
      <c r="W36" s="74"/>
      <c r="AB36" s="7"/>
      <c r="AH36" s="7"/>
      <c r="AI36" s="7"/>
      <c r="AJ36" s="7"/>
      <c r="AK36" s="80"/>
      <c r="AL36" s="75"/>
      <c r="AM36" s="75"/>
      <c r="AN36" s="77"/>
      <c r="AO36" s="74"/>
    </row>
    <row r="37" spans="1:41" ht="21" x14ac:dyDescent="0.25">
      <c r="A37" s="30"/>
      <c r="B37" s="3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4">
        <f t="shared" si="0"/>
        <v>0</v>
      </c>
      <c r="S37" s="74"/>
      <c r="W37" s="74"/>
      <c r="AA37" s="7"/>
      <c r="AB37" s="7"/>
      <c r="AC37" s="81" t="s">
        <v>48</v>
      </c>
      <c r="AD37" s="81"/>
      <c r="AE37" s="82">
        <f>B84</f>
        <v>0</v>
      </c>
      <c r="AF37" s="17" t="s">
        <v>49</v>
      </c>
      <c r="AG37" s="7"/>
      <c r="AH37" s="7"/>
      <c r="AI37" s="7"/>
      <c r="AJ37" s="7"/>
      <c r="AK37" s="83"/>
      <c r="AL37" s="75"/>
      <c r="AM37" s="75"/>
      <c r="AN37" s="77"/>
      <c r="AO37" s="74"/>
    </row>
    <row r="38" spans="1:41" x14ac:dyDescent="0.2">
      <c r="A38" s="84"/>
      <c r="B38" s="84"/>
      <c r="C38" s="84"/>
      <c r="D38" s="84"/>
      <c r="E38" s="84"/>
      <c r="F38" s="84"/>
      <c r="G38" s="84"/>
      <c r="H38" s="84"/>
      <c r="I38" s="85"/>
      <c r="J38" s="84"/>
      <c r="K38" s="84"/>
      <c r="L38" s="86"/>
      <c r="M38" s="87"/>
      <c r="N38" s="86"/>
      <c r="O38" s="88"/>
      <c r="S38" s="74"/>
      <c r="W38" s="74"/>
      <c r="AA38" s="78" t="str">
        <f>IF((COUNTIF($A$6,"*様*")),(""),("・製品100ｇ当たり、トランス脂肪酸0.3ｇ未満の場合はHPの値は0ｇと表示しております。"))</f>
        <v>・製品100ｇ当たり、トランス脂肪酸0.3ｇ未満の場合はHPの値は0ｇと表示しております。</v>
      </c>
      <c r="AB38" s="75"/>
      <c r="AC38" s="79"/>
      <c r="AD38" s="74"/>
      <c r="AE38" s="7"/>
      <c r="AF38" s="7"/>
      <c r="AG38" s="7"/>
      <c r="AL38" s="75"/>
      <c r="AM38" s="75"/>
      <c r="AN38" s="79"/>
      <c r="AO38" s="74"/>
    </row>
    <row r="39" spans="1:41" x14ac:dyDescent="0.2">
      <c r="A39" s="18" t="s">
        <v>50</v>
      </c>
      <c r="B39" s="18" t="s">
        <v>51</v>
      </c>
      <c r="C39" s="18" t="s">
        <v>15</v>
      </c>
      <c r="D39" s="18" t="s">
        <v>16</v>
      </c>
      <c r="E39" s="18" t="s">
        <v>17</v>
      </c>
      <c r="F39" s="18" t="s">
        <v>18</v>
      </c>
      <c r="G39" s="18" t="s">
        <v>19</v>
      </c>
      <c r="H39" s="18" t="s">
        <v>20</v>
      </c>
      <c r="I39" s="89" t="s">
        <v>52</v>
      </c>
      <c r="J39" s="20" t="s">
        <v>53</v>
      </c>
      <c r="K39" s="19" t="s">
        <v>54</v>
      </c>
      <c r="L39" s="90" t="s">
        <v>55</v>
      </c>
      <c r="M39" s="91" t="str">
        <f>M7</f>
        <v>ｴﾘｽﾘﾄｰﾙ</v>
      </c>
      <c r="N39" s="92">
        <f>N7</f>
        <v>0</v>
      </c>
      <c r="R39" s="76"/>
      <c r="S39" s="74"/>
      <c r="AA39" s="93" t="str">
        <f>IF((COUNTIF($A$6,"*様*")),(""),(" (ただし、製品重量が1個当たり100g以上の場合は0.3g/100g未満でも0gではなく、1個当たりの数値を表示。)"))</f>
        <v xml:space="preserve"> (ただし、製品重量が1個当たり100g以上の場合は0.3g/100g未満でも0gではなく、1個当たりの数値を表示。)</v>
      </c>
      <c r="AB39" s="75"/>
      <c r="AC39" s="77"/>
      <c r="AD39" s="74"/>
      <c r="AE39" s="7"/>
      <c r="AF39" s="7"/>
      <c r="AG39" s="7"/>
    </row>
    <row r="40" spans="1:41" x14ac:dyDescent="0.2">
      <c r="A40" s="94" t="s">
        <v>56</v>
      </c>
      <c r="B40" s="95">
        <v>100</v>
      </c>
      <c r="C40" s="96"/>
      <c r="D40" s="96"/>
      <c r="E40" s="96"/>
      <c r="F40" s="96"/>
      <c r="G40" s="96"/>
      <c r="H40" s="96"/>
      <c r="I40" s="97"/>
      <c r="J40" s="98"/>
      <c r="K40" s="99"/>
      <c r="L40" s="100"/>
      <c r="M40" s="101"/>
      <c r="N40" s="100"/>
      <c r="O40" s="4">
        <f>SUM(C40:H40)</f>
        <v>0</v>
      </c>
      <c r="R40" s="77"/>
      <c r="S40" s="74"/>
      <c r="AA40" s="78" t="str">
        <f>IF((COUNTIF($A$6,"*様*")),(""),("・製品100ｇ当たり、コレステロール5ｍｇ未満の場合はHPの値は0mｇと表示しております。"))</f>
        <v>・製品100ｇ当たり、コレステロール5ｍｇ未満の場合はHPの値は0mｇと表示しております。</v>
      </c>
      <c r="AB40" s="75"/>
      <c r="AC40" s="77"/>
      <c r="AD40" s="74"/>
    </row>
    <row r="41" spans="1:41" x14ac:dyDescent="0.2">
      <c r="A41" s="25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9"/>
      <c r="O41" s="4">
        <f>SUM(C41:H41)</f>
        <v>0</v>
      </c>
      <c r="Q41" s="75"/>
      <c r="R41" s="77"/>
      <c r="S41" s="74"/>
      <c r="AA41" s="75"/>
      <c r="AB41" s="75"/>
      <c r="AC41" s="79"/>
      <c r="AD41" s="74"/>
    </row>
    <row r="42" spans="1:41" x14ac:dyDescent="0.2">
      <c r="A42" s="30"/>
      <c r="B42" s="3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4">
        <f>SUM(C42:H42)</f>
        <v>0</v>
      </c>
      <c r="Q42" s="75"/>
      <c r="R42" s="77"/>
      <c r="S42" s="74"/>
      <c r="AA42" s="102"/>
    </row>
    <row r="43" spans="1:41" x14ac:dyDescent="0.2">
      <c r="A43" s="103"/>
      <c r="B43" s="104"/>
      <c r="C43" s="105"/>
      <c r="D43" s="105"/>
      <c r="E43" s="105"/>
      <c r="F43" s="105"/>
      <c r="G43" s="105"/>
      <c r="H43" s="105"/>
      <c r="I43" s="105"/>
      <c r="J43" s="106"/>
      <c r="K43" s="107"/>
      <c r="L43" s="105"/>
      <c r="M43" s="32"/>
      <c r="N43" s="29"/>
      <c r="O43" s="4">
        <f>SUM(C43:H43)</f>
        <v>0</v>
      </c>
      <c r="P43" s="75"/>
      <c r="Q43" s="75"/>
      <c r="R43" s="79"/>
      <c r="S43" s="74"/>
      <c r="AA43" s="102"/>
      <c r="AI43" s="80"/>
      <c r="AJ43" s="80"/>
    </row>
    <row r="44" spans="1:41" x14ac:dyDescent="0.2">
      <c r="A44" s="30"/>
      <c r="B44" s="108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4">
        <f t="shared" ref="O44:O46" si="1">SUM(C44:H44)</f>
        <v>0</v>
      </c>
      <c r="P44" s="75"/>
      <c r="Q44" s="75"/>
      <c r="R44" s="77"/>
      <c r="AA44" s="109"/>
      <c r="AB44" s="7"/>
      <c r="AC44" s="7"/>
      <c r="AD44" s="7"/>
      <c r="AE44" s="7"/>
      <c r="AI44" s="80"/>
      <c r="AJ44" s="80"/>
    </row>
    <row r="45" spans="1:41" x14ac:dyDescent="0.2">
      <c r="A45" s="30"/>
      <c r="B45" s="10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4">
        <f>SUM(C45:H45)</f>
        <v>0</v>
      </c>
      <c r="P45" s="75"/>
      <c r="Q45" s="75"/>
      <c r="R45" s="77"/>
      <c r="AA45" s="7"/>
      <c r="AB45" s="7"/>
      <c r="AC45" s="7"/>
      <c r="AD45" s="7"/>
      <c r="AE45" s="110"/>
      <c r="AI45" s="83"/>
      <c r="AJ45" s="83"/>
    </row>
    <row r="46" spans="1:41" x14ac:dyDescent="0.2">
      <c r="A46" s="30"/>
      <c r="B46" s="10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4">
        <f t="shared" si="1"/>
        <v>0</v>
      </c>
      <c r="P46" s="75"/>
      <c r="Q46" s="75"/>
      <c r="R46" s="79"/>
      <c r="AA46" s="7"/>
      <c r="AB46" s="7"/>
      <c r="AC46" s="7"/>
      <c r="AD46" s="7"/>
      <c r="AE46" s="111"/>
    </row>
    <row r="47" spans="1:41" x14ac:dyDescent="0.2">
      <c r="A47" s="30"/>
      <c r="B47" s="10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4">
        <f>SUM(C47:H47)</f>
        <v>0</v>
      </c>
      <c r="P47" s="75"/>
      <c r="Q47" s="75"/>
      <c r="AA47" s="112"/>
      <c r="AB47" s="112"/>
      <c r="AC47" s="112"/>
      <c r="AD47" s="112"/>
      <c r="AE47" s="113"/>
    </row>
    <row r="48" spans="1:41" x14ac:dyDescent="0.2">
      <c r="A48" s="30"/>
      <c r="B48" s="108"/>
      <c r="C48" s="29"/>
      <c r="D48" s="29"/>
      <c r="E48" s="29"/>
      <c r="F48" s="29"/>
      <c r="G48" s="29"/>
      <c r="H48" s="29"/>
      <c r="I48" s="29"/>
      <c r="J48" s="29"/>
      <c r="K48" s="29"/>
      <c r="L48" s="114"/>
      <c r="M48" s="32"/>
      <c r="N48" s="29"/>
      <c r="O48" s="4">
        <f>SUM(C48:H48)</f>
        <v>0</v>
      </c>
      <c r="P48" s="75"/>
      <c r="Q48" s="75"/>
      <c r="AC48" s="80"/>
      <c r="AD48" s="80"/>
    </row>
    <row r="49" spans="1:30" x14ac:dyDescent="0.2">
      <c r="A49" s="30"/>
      <c r="B49" s="108"/>
      <c r="C49" s="29"/>
      <c r="D49" s="29"/>
      <c r="E49" s="29"/>
      <c r="F49" s="29"/>
      <c r="G49" s="29"/>
      <c r="H49" s="29"/>
      <c r="I49" s="29"/>
      <c r="J49" s="29"/>
      <c r="K49" s="29"/>
      <c r="L49" s="114"/>
      <c r="M49" s="32"/>
      <c r="N49" s="29"/>
      <c r="O49" s="4">
        <f>SUM(C49:H49)</f>
        <v>0</v>
      </c>
      <c r="P49" s="75"/>
      <c r="AC49" s="83"/>
      <c r="AD49" s="83"/>
    </row>
    <row r="50" spans="1:30" x14ac:dyDescent="0.2">
      <c r="A50" s="2"/>
      <c r="B50" s="2"/>
      <c r="C50" s="2"/>
      <c r="D50" s="2"/>
      <c r="E50" s="2"/>
      <c r="F50" s="2"/>
      <c r="G50" s="2"/>
      <c r="H50" s="2"/>
      <c r="I50" s="115"/>
      <c r="J50" s="15"/>
      <c r="K50" s="15"/>
      <c r="L50" s="116"/>
      <c r="M50" s="117"/>
      <c r="N50" s="116"/>
      <c r="P50" s="75"/>
    </row>
    <row r="51" spans="1:30" x14ac:dyDescent="0.2">
      <c r="A51" s="118" t="s">
        <v>57</v>
      </c>
      <c r="B51" s="84"/>
      <c r="C51" s="118" t="s">
        <v>57</v>
      </c>
      <c r="D51" s="118" t="s">
        <v>57</v>
      </c>
      <c r="E51" s="84"/>
      <c r="F51" s="84"/>
      <c r="G51" s="84"/>
      <c r="H51" s="84"/>
      <c r="I51" s="85"/>
      <c r="J51" s="84"/>
      <c r="K51" s="84"/>
      <c r="L51" s="119"/>
      <c r="M51" s="120"/>
      <c r="N51" s="119"/>
    </row>
    <row r="52" spans="1:30" x14ac:dyDescent="0.2">
      <c r="A52" s="121" t="s">
        <v>13</v>
      </c>
      <c r="B52" s="121" t="s">
        <v>58</v>
      </c>
      <c r="C52" s="121" t="s">
        <v>15</v>
      </c>
      <c r="D52" s="121" t="s">
        <v>16</v>
      </c>
      <c r="E52" s="121" t="s">
        <v>17</v>
      </c>
      <c r="F52" s="121" t="s">
        <v>18</v>
      </c>
      <c r="G52" s="121" t="s">
        <v>19</v>
      </c>
      <c r="H52" s="121" t="s">
        <v>20</v>
      </c>
      <c r="I52" s="122" t="s">
        <v>52</v>
      </c>
      <c r="J52" s="123" t="s">
        <v>22</v>
      </c>
      <c r="K52" s="124" t="s">
        <v>23</v>
      </c>
      <c r="L52" s="125" t="s">
        <v>59</v>
      </c>
      <c r="M52" s="91" t="str">
        <f>M7</f>
        <v>ｴﾘｽﾘﾄｰﾙ</v>
      </c>
      <c r="N52" s="92">
        <f>N7</f>
        <v>0</v>
      </c>
    </row>
    <row r="53" spans="1:30" x14ac:dyDescent="0.2">
      <c r="A53" s="30" t="str">
        <f>IF(A8="","",A8)</f>
        <v/>
      </c>
      <c r="B53" s="126" t="str">
        <f>IF(B8="","",B8)</f>
        <v/>
      </c>
      <c r="C53" s="127">
        <f t="shared" ref="C53:C82" si="2">C8*B53/100</f>
        <v>0</v>
      </c>
      <c r="D53" s="127">
        <f t="shared" ref="D53:D82" si="3">D8*B53/100</f>
        <v>0</v>
      </c>
      <c r="E53" s="127">
        <f t="shared" ref="E53:E82" si="4">E8*B53/100</f>
        <v>0</v>
      </c>
      <c r="F53" s="127">
        <f>F8*B53/100</f>
        <v>0</v>
      </c>
      <c r="G53" s="127">
        <f t="shared" ref="G53:G82" si="5">G8*B53/100</f>
        <v>0</v>
      </c>
      <c r="H53" s="127">
        <f t="shared" ref="H53:H82" si="6">H8*B53/100</f>
        <v>0</v>
      </c>
      <c r="I53" s="128">
        <f t="shared" ref="I53:I82" si="7">I8*B53/100</f>
        <v>0</v>
      </c>
      <c r="J53" s="128">
        <f t="shared" ref="J53:J82" si="8">J8*B53/100</f>
        <v>0</v>
      </c>
      <c r="K53" s="128">
        <f t="shared" ref="K53:K82" si="9">K8*B53/100</f>
        <v>0</v>
      </c>
      <c r="L53" s="129">
        <f t="shared" ref="L53:L82" si="10">L8*B53/100</f>
        <v>0</v>
      </c>
      <c r="M53" s="130">
        <f t="shared" ref="M53:M82" si="11">M8*B53/100</f>
        <v>0</v>
      </c>
      <c r="N53" s="131">
        <f t="shared" ref="N53:N82" si="12">N8*B53/100</f>
        <v>0</v>
      </c>
    </row>
    <row r="54" spans="1:30" x14ac:dyDescent="0.2">
      <c r="A54" s="30" t="str">
        <f t="shared" ref="A54:B69" si="13">IF(A9="","",A9)</f>
        <v/>
      </c>
      <c r="B54" s="126" t="str">
        <f t="shared" si="13"/>
        <v/>
      </c>
      <c r="C54" s="127">
        <f t="shared" si="2"/>
        <v>0</v>
      </c>
      <c r="D54" s="127">
        <f t="shared" si="3"/>
        <v>0</v>
      </c>
      <c r="E54" s="127">
        <f t="shared" si="4"/>
        <v>0</v>
      </c>
      <c r="F54" s="127">
        <f t="shared" ref="F54:F82" si="14">F9*B54/100</f>
        <v>0</v>
      </c>
      <c r="G54" s="127">
        <f t="shared" si="5"/>
        <v>0</v>
      </c>
      <c r="H54" s="127">
        <f t="shared" si="6"/>
        <v>0</v>
      </c>
      <c r="I54" s="128">
        <f t="shared" si="7"/>
        <v>0</v>
      </c>
      <c r="J54" s="128">
        <f t="shared" si="8"/>
        <v>0</v>
      </c>
      <c r="K54" s="128">
        <f t="shared" si="9"/>
        <v>0</v>
      </c>
      <c r="L54" s="129">
        <f t="shared" si="10"/>
        <v>0</v>
      </c>
      <c r="M54" s="130">
        <f t="shared" si="11"/>
        <v>0</v>
      </c>
      <c r="N54" s="131">
        <f t="shared" si="12"/>
        <v>0</v>
      </c>
    </row>
    <row r="55" spans="1:30" x14ac:dyDescent="0.2">
      <c r="A55" s="30" t="str">
        <f t="shared" si="13"/>
        <v/>
      </c>
      <c r="B55" s="126" t="str">
        <f t="shared" si="13"/>
        <v/>
      </c>
      <c r="C55" s="127">
        <f t="shared" si="2"/>
        <v>0</v>
      </c>
      <c r="D55" s="127">
        <f t="shared" si="3"/>
        <v>0</v>
      </c>
      <c r="E55" s="127">
        <f t="shared" si="4"/>
        <v>0</v>
      </c>
      <c r="F55" s="127">
        <f t="shared" si="14"/>
        <v>0</v>
      </c>
      <c r="G55" s="127">
        <f t="shared" si="5"/>
        <v>0</v>
      </c>
      <c r="H55" s="127">
        <f t="shared" si="6"/>
        <v>0</v>
      </c>
      <c r="I55" s="128">
        <f t="shared" si="7"/>
        <v>0</v>
      </c>
      <c r="J55" s="128">
        <f t="shared" si="8"/>
        <v>0</v>
      </c>
      <c r="K55" s="128">
        <f t="shared" si="9"/>
        <v>0</v>
      </c>
      <c r="L55" s="129">
        <f t="shared" si="10"/>
        <v>0</v>
      </c>
      <c r="M55" s="130">
        <f t="shared" si="11"/>
        <v>0</v>
      </c>
      <c r="N55" s="131">
        <f t="shared" si="12"/>
        <v>0</v>
      </c>
    </row>
    <row r="56" spans="1:30" x14ac:dyDescent="0.2">
      <c r="A56" s="30" t="str">
        <f t="shared" si="13"/>
        <v/>
      </c>
      <c r="B56" s="126" t="str">
        <f t="shared" si="13"/>
        <v/>
      </c>
      <c r="C56" s="127">
        <f t="shared" si="2"/>
        <v>0</v>
      </c>
      <c r="D56" s="127">
        <f t="shared" si="3"/>
        <v>0</v>
      </c>
      <c r="E56" s="127">
        <f t="shared" si="4"/>
        <v>0</v>
      </c>
      <c r="F56" s="127">
        <f t="shared" si="14"/>
        <v>0</v>
      </c>
      <c r="G56" s="127">
        <f t="shared" si="5"/>
        <v>0</v>
      </c>
      <c r="H56" s="127">
        <f t="shared" si="6"/>
        <v>0</v>
      </c>
      <c r="I56" s="128">
        <f t="shared" si="7"/>
        <v>0</v>
      </c>
      <c r="J56" s="128">
        <f t="shared" si="8"/>
        <v>0</v>
      </c>
      <c r="K56" s="128">
        <f t="shared" si="9"/>
        <v>0</v>
      </c>
      <c r="L56" s="129">
        <f t="shared" si="10"/>
        <v>0</v>
      </c>
      <c r="M56" s="130">
        <f t="shared" si="11"/>
        <v>0</v>
      </c>
      <c r="N56" s="131">
        <f t="shared" si="12"/>
        <v>0</v>
      </c>
    </row>
    <row r="57" spans="1:30" x14ac:dyDescent="0.2">
      <c r="A57" s="30" t="str">
        <f t="shared" si="13"/>
        <v/>
      </c>
      <c r="B57" s="126" t="str">
        <f t="shared" si="13"/>
        <v/>
      </c>
      <c r="C57" s="127">
        <f t="shared" si="2"/>
        <v>0</v>
      </c>
      <c r="D57" s="127">
        <f t="shared" si="3"/>
        <v>0</v>
      </c>
      <c r="E57" s="127">
        <f t="shared" si="4"/>
        <v>0</v>
      </c>
      <c r="F57" s="127">
        <f t="shared" si="14"/>
        <v>0</v>
      </c>
      <c r="G57" s="127">
        <f t="shared" si="5"/>
        <v>0</v>
      </c>
      <c r="H57" s="127">
        <f t="shared" si="6"/>
        <v>0</v>
      </c>
      <c r="I57" s="128">
        <f t="shared" si="7"/>
        <v>0</v>
      </c>
      <c r="J57" s="128">
        <f t="shared" si="8"/>
        <v>0</v>
      </c>
      <c r="K57" s="128">
        <f t="shared" si="9"/>
        <v>0</v>
      </c>
      <c r="L57" s="129">
        <f t="shared" si="10"/>
        <v>0</v>
      </c>
      <c r="M57" s="130">
        <f t="shared" si="11"/>
        <v>0</v>
      </c>
      <c r="N57" s="131">
        <f t="shared" si="12"/>
        <v>0</v>
      </c>
      <c r="AA57" s="132"/>
    </row>
    <row r="58" spans="1:30" x14ac:dyDescent="0.2">
      <c r="A58" s="30" t="str">
        <f t="shared" si="13"/>
        <v/>
      </c>
      <c r="B58" s="126" t="str">
        <f t="shared" si="13"/>
        <v/>
      </c>
      <c r="C58" s="127">
        <f t="shared" si="2"/>
        <v>0</v>
      </c>
      <c r="D58" s="127">
        <f t="shared" si="3"/>
        <v>0</v>
      </c>
      <c r="E58" s="127">
        <f t="shared" si="4"/>
        <v>0</v>
      </c>
      <c r="F58" s="127">
        <f t="shared" si="14"/>
        <v>0</v>
      </c>
      <c r="G58" s="127">
        <f t="shared" si="5"/>
        <v>0</v>
      </c>
      <c r="H58" s="127">
        <f t="shared" si="6"/>
        <v>0</v>
      </c>
      <c r="I58" s="128">
        <f t="shared" si="7"/>
        <v>0</v>
      </c>
      <c r="J58" s="128">
        <f t="shared" si="8"/>
        <v>0</v>
      </c>
      <c r="K58" s="128">
        <f t="shared" si="9"/>
        <v>0</v>
      </c>
      <c r="L58" s="129">
        <f t="shared" si="10"/>
        <v>0</v>
      </c>
      <c r="M58" s="130">
        <f t="shared" si="11"/>
        <v>0</v>
      </c>
      <c r="N58" s="131">
        <f t="shared" si="12"/>
        <v>0</v>
      </c>
      <c r="AA58" s="132"/>
    </row>
    <row r="59" spans="1:30" x14ac:dyDescent="0.2">
      <c r="A59" s="30" t="str">
        <f t="shared" si="13"/>
        <v/>
      </c>
      <c r="B59" s="126" t="str">
        <f t="shared" si="13"/>
        <v/>
      </c>
      <c r="C59" s="127">
        <f t="shared" si="2"/>
        <v>0</v>
      </c>
      <c r="D59" s="127">
        <f t="shared" si="3"/>
        <v>0</v>
      </c>
      <c r="E59" s="127">
        <f t="shared" si="4"/>
        <v>0</v>
      </c>
      <c r="F59" s="127">
        <f t="shared" si="14"/>
        <v>0</v>
      </c>
      <c r="G59" s="127">
        <f t="shared" si="5"/>
        <v>0</v>
      </c>
      <c r="H59" s="127">
        <f t="shared" si="6"/>
        <v>0</v>
      </c>
      <c r="I59" s="128">
        <f t="shared" si="7"/>
        <v>0</v>
      </c>
      <c r="J59" s="128">
        <f t="shared" si="8"/>
        <v>0</v>
      </c>
      <c r="K59" s="128">
        <f t="shared" si="9"/>
        <v>0</v>
      </c>
      <c r="L59" s="129">
        <f t="shared" si="10"/>
        <v>0</v>
      </c>
      <c r="M59" s="130">
        <f t="shared" si="11"/>
        <v>0</v>
      </c>
      <c r="N59" s="131">
        <f t="shared" si="12"/>
        <v>0</v>
      </c>
    </row>
    <row r="60" spans="1:30" x14ac:dyDescent="0.2">
      <c r="A60" s="30" t="str">
        <f t="shared" si="13"/>
        <v/>
      </c>
      <c r="B60" s="126" t="str">
        <f t="shared" si="13"/>
        <v/>
      </c>
      <c r="C60" s="127">
        <f t="shared" si="2"/>
        <v>0</v>
      </c>
      <c r="D60" s="127">
        <f t="shared" si="3"/>
        <v>0</v>
      </c>
      <c r="E60" s="127">
        <f t="shared" si="4"/>
        <v>0</v>
      </c>
      <c r="F60" s="127">
        <f t="shared" si="14"/>
        <v>0</v>
      </c>
      <c r="G60" s="127">
        <f t="shared" si="5"/>
        <v>0</v>
      </c>
      <c r="H60" s="127">
        <f t="shared" si="6"/>
        <v>0</v>
      </c>
      <c r="I60" s="128">
        <f t="shared" si="7"/>
        <v>0</v>
      </c>
      <c r="J60" s="128">
        <f t="shared" si="8"/>
        <v>0</v>
      </c>
      <c r="K60" s="128">
        <f t="shared" si="9"/>
        <v>0</v>
      </c>
      <c r="L60" s="129">
        <f t="shared" si="10"/>
        <v>0</v>
      </c>
      <c r="M60" s="130">
        <f t="shared" si="11"/>
        <v>0</v>
      </c>
      <c r="N60" s="131">
        <f t="shared" si="12"/>
        <v>0</v>
      </c>
    </row>
    <row r="61" spans="1:30" x14ac:dyDescent="0.2">
      <c r="A61" s="30" t="str">
        <f t="shared" si="13"/>
        <v/>
      </c>
      <c r="B61" s="126" t="str">
        <f t="shared" si="13"/>
        <v/>
      </c>
      <c r="C61" s="127">
        <f t="shared" si="2"/>
        <v>0</v>
      </c>
      <c r="D61" s="127">
        <f t="shared" si="3"/>
        <v>0</v>
      </c>
      <c r="E61" s="127">
        <f t="shared" si="4"/>
        <v>0</v>
      </c>
      <c r="F61" s="127">
        <f t="shared" si="14"/>
        <v>0</v>
      </c>
      <c r="G61" s="127">
        <f t="shared" si="5"/>
        <v>0</v>
      </c>
      <c r="H61" s="127">
        <f t="shared" si="6"/>
        <v>0</v>
      </c>
      <c r="I61" s="128">
        <f t="shared" si="7"/>
        <v>0</v>
      </c>
      <c r="J61" s="128">
        <f t="shared" si="8"/>
        <v>0</v>
      </c>
      <c r="K61" s="128">
        <f t="shared" si="9"/>
        <v>0</v>
      </c>
      <c r="L61" s="129">
        <f t="shared" si="10"/>
        <v>0</v>
      </c>
      <c r="M61" s="130">
        <f t="shared" si="11"/>
        <v>0</v>
      </c>
      <c r="N61" s="131">
        <f t="shared" si="12"/>
        <v>0</v>
      </c>
    </row>
    <row r="62" spans="1:30" x14ac:dyDescent="0.2">
      <c r="A62" s="30" t="str">
        <f t="shared" si="13"/>
        <v/>
      </c>
      <c r="B62" s="126" t="str">
        <f t="shared" si="13"/>
        <v/>
      </c>
      <c r="C62" s="127">
        <f t="shared" si="2"/>
        <v>0</v>
      </c>
      <c r="D62" s="127">
        <f t="shared" si="3"/>
        <v>0</v>
      </c>
      <c r="E62" s="127">
        <f t="shared" si="4"/>
        <v>0</v>
      </c>
      <c r="F62" s="127">
        <f t="shared" si="14"/>
        <v>0</v>
      </c>
      <c r="G62" s="127">
        <f t="shared" si="5"/>
        <v>0</v>
      </c>
      <c r="H62" s="127">
        <f t="shared" si="6"/>
        <v>0</v>
      </c>
      <c r="I62" s="128">
        <f t="shared" si="7"/>
        <v>0</v>
      </c>
      <c r="J62" s="128">
        <f t="shared" si="8"/>
        <v>0</v>
      </c>
      <c r="K62" s="128">
        <f t="shared" si="9"/>
        <v>0</v>
      </c>
      <c r="L62" s="129">
        <f t="shared" si="10"/>
        <v>0</v>
      </c>
      <c r="M62" s="130">
        <f t="shared" si="11"/>
        <v>0</v>
      </c>
      <c r="N62" s="131">
        <f t="shared" si="12"/>
        <v>0</v>
      </c>
    </row>
    <row r="63" spans="1:30" x14ac:dyDescent="0.2">
      <c r="A63" s="30" t="str">
        <f t="shared" si="13"/>
        <v/>
      </c>
      <c r="B63" s="126" t="str">
        <f t="shared" si="13"/>
        <v/>
      </c>
      <c r="C63" s="127">
        <f t="shared" si="2"/>
        <v>0</v>
      </c>
      <c r="D63" s="127">
        <f t="shared" si="3"/>
        <v>0</v>
      </c>
      <c r="E63" s="127">
        <f t="shared" si="4"/>
        <v>0</v>
      </c>
      <c r="F63" s="127">
        <f t="shared" si="14"/>
        <v>0</v>
      </c>
      <c r="G63" s="127">
        <f t="shared" si="5"/>
        <v>0</v>
      </c>
      <c r="H63" s="127">
        <f t="shared" si="6"/>
        <v>0</v>
      </c>
      <c r="I63" s="128">
        <f t="shared" si="7"/>
        <v>0</v>
      </c>
      <c r="J63" s="128">
        <f t="shared" si="8"/>
        <v>0</v>
      </c>
      <c r="K63" s="128">
        <f t="shared" si="9"/>
        <v>0</v>
      </c>
      <c r="L63" s="129">
        <f t="shared" si="10"/>
        <v>0</v>
      </c>
      <c r="M63" s="130">
        <f t="shared" si="11"/>
        <v>0</v>
      </c>
      <c r="N63" s="131">
        <f t="shared" si="12"/>
        <v>0</v>
      </c>
    </row>
    <row r="64" spans="1:30" x14ac:dyDescent="0.2">
      <c r="A64" s="30" t="str">
        <f t="shared" si="13"/>
        <v/>
      </c>
      <c r="B64" s="126" t="str">
        <f t="shared" si="13"/>
        <v/>
      </c>
      <c r="C64" s="127">
        <f t="shared" si="2"/>
        <v>0</v>
      </c>
      <c r="D64" s="127">
        <f t="shared" si="3"/>
        <v>0</v>
      </c>
      <c r="E64" s="127">
        <f t="shared" si="4"/>
        <v>0</v>
      </c>
      <c r="F64" s="127">
        <f t="shared" si="14"/>
        <v>0</v>
      </c>
      <c r="G64" s="127">
        <f t="shared" si="5"/>
        <v>0</v>
      </c>
      <c r="H64" s="127">
        <f t="shared" si="6"/>
        <v>0</v>
      </c>
      <c r="I64" s="128">
        <f t="shared" si="7"/>
        <v>0</v>
      </c>
      <c r="J64" s="128">
        <f t="shared" si="8"/>
        <v>0</v>
      </c>
      <c r="K64" s="128">
        <f t="shared" si="9"/>
        <v>0</v>
      </c>
      <c r="L64" s="129">
        <f t="shared" si="10"/>
        <v>0</v>
      </c>
      <c r="M64" s="130">
        <f t="shared" si="11"/>
        <v>0</v>
      </c>
      <c r="N64" s="131">
        <f t="shared" si="12"/>
        <v>0</v>
      </c>
      <c r="AA64" s="133" t="s">
        <v>60</v>
      </c>
    </row>
    <row r="65" spans="1:33" x14ac:dyDescent="0.2">
      <c r="A65" s="30" t="str">
        <f t="shared" si="13"/>
        <v/>
      </c>
      <c r="B65" s="126" t="str">
        <f t="shared" si="13"/>
        <v/>
      </c>
      <c r="C65" s="127">
        <f t="shared" si="2"/>
        <v>0</v>
      </c>
      <c r="D65" s="127">
        <f t="shared" si="3"/>
        <v>0</v>
      </c>
      <c r="E65" s="127">
        <f t="shared" si="4"/>
        <v>0</v>
      </c>
      <c r="F65" s="127">
        <f t="shared" si="14"/>
        <v>0</v>
      </c>
      <c r="G65" s="127">
        <f t="shared" si="5"/>
        <v>0</v>
      </c>
      <c r="H65" s="127">
        <f t="shared" si="6"/>
        <v>0</v>
      </c>
      <c r="I65" s="128">
        <f t="shared" si="7"/>
        <v>0</v>
      </c>
      <c r="J65" s="128">
        <f t="shared" si="8"/>
        <v>0</v>
      </c>
      <c r="K65" s="128">
        <f t="shared" si="9"/>
        <v>0</v>
      </c>
      <c r="L65" s="129">
        <f t="shared" si="10"/>
        <v>0</v>
      </c>
      <c r="M65" s="130">
        <f t="shared" si="11"/>
        <v>0</v>
      </c>
      <c r="N65" s="131">
        <f t="shared" si="12"/>
        <v>0</v>
      </c>
      <c r="AA65" s="134" t="s">
        <v>61</v>
      </c>
    </row>
    <row r="66" spans="1:33" ht="18" x14ac:dyDescent="0.35">
      <c r="A66" s="30" t="str">
        <f t="shared" si="13"/>
        <v/>
      </c>
      <c r="B66" s="126" t="str">
        <f t="shared" si="13"/>
        <v/>
      </c>
      <c r="C66" s="127">
        <f t="shared" si="2"/>
        <v>0</v>
      </c>
      <c r="D66" s="127">
        <f t="shared" si="3"/>
        <v>0</v>
      </c>
      <c r="E66" s="127">
        <f t="shared" si="4"/>
        <v>0</v>
      </c>
      <c r="F66" s="127">
        <f t="shared" si="14"/>
        <v>0</v>
      </c>
      <c r="G66" s="127">
        <f t="shared" si="5"/>
        <v>0</v>
      </c>
      <c r="H66" s="127">
        <f t="shared" si="6"/>
        <v>0</v>
      </c>
      <c r="I66" s="128">
        <f t="shared" si="7"/>
        <v>0</v>
      </c>
      <c r="J66" s="128">
        <f t="shared" si="8"/>
        <v>0</v>
      </c>
      <c r="K66" s="128">
        <f t="shared" si="9"/>
        <v>0</v>
      </c>
      <c r="L66" s="129">
        <f t="shared" si="10"/>
        <v>0</v>
      </c>
      <c r="M66" s="130">
        <f t="shared" si="11"/>
        <v>0</v>
      </c>
      <c r="N66" s="131">
        <f t="shared" si="12"/>
        <v>0</v>
      </c>
      <c r="AA66" s="132" t="s">
        <v>62</v>
      </c>
      <c r="AC66" s="135"/>
      <c r="AE66" s="135"/>
      <c r="AF66" s="136"/>
      <c r="AG66" s="135"/>
    </row>
    <row r="67" spans="1:33" x14ac:dyDescent="0.2">
      <c r="A67" s="30" t="str">
        <f t="shared" si="13"/>
        <v/>
      </c>
      <c r="B67" s="126" t="str">
        <f t="shared" si="13"/>
        <v/>
      </c>
      <c r="C67" s="127">
        <f t="shared" si="2"/>
        <v>0</v>
      </c>
      <c r="D67" s="127">
        <f t="shared" si="3"/>
        <v>0</v>
      </c>
      <c r="E67" s="127">
        <f t="shared" si="4"/>
        <v>0</v>
      </c>
      <c r="F67" s="127">
        <f t="shared" si="14"/>
        <v>0</v>
      </c>
      <c r="G67" s="127">
        <f t="shared" si="5"/>
        <v>0</v>
      </c>
      <c r="H67" s="127">
        <f t="shared" si="6"/>
        <v>0</v>
      </c>
      <c r="I67" s="128">
        <f t="shared" si="7"/>
        <v>0</v>
      </c>
      <c r="J67" s="128">
        <f t="shared" si="8"/>
        <v>0</v>
      </c>
      <c r="K67" s="128">
        <f t="shared" si="9"/>
        <v>0</v>
      </c>
      <c r="L67" s="129">
        <f t="shared" si="10"/>
        <v>0</v>
      </c>
      <c r="M67" s="130">
        <f t="shared" si="11"/>
        <v>0</v>
      </c>
      <c r="N67" s="131">
        <f t="shared" si="12"/>
        <v>0</v>
      </c>
    </row>
    <row r="68" spans="1:33" x14ac:dyDescent="0.2">
      <c r="A68" s="30" t="str">
        <f t="shared" si="13"/>
        <v/>
      </c>
      <c r="B68" s="126" t="str">
        <f t="shared" si="13"/>
        <v/>
      </c>
      <c r="C68" s="127">
        <f t="shared" si="2"/>
        <v>0</v>
      </c>
      <c r="D68" s="127">
        <f t="shared" si="3"/>
        <v>0</v>
      </c>
      <c r="E68" s="127">
        <f t="shared" si="4"/>
        <v>0</v>
      </c>
      <c r="F68" s="127">
        <f t="shared" si="14"/>
        <v>0</v>
      </c>
      <c r="G68" s="127">
        <f t="shared" si="5"/>
        <v>0</v>
      </c>
      <c r="H68" s="127">
        <f t="shared" si="6"/>
        <v>0</v>
      </c>
      <c r="I68" s="128">
        <f t="shared" si="7"/>
        <v>0</v>
      </c>
      <c r="J68" s="128">
        <f t="shared" si="8"/>
        <v>0</v>
      </c>
      <c r="K68" s="128">
        <f t="shared" si="9"/>
        <v>0</v>
      </c>
      <c r="L68" s="129">
        <f t="shared" si="10"/>
        <v>0</v>
      </c>
      <c r="M68" s="130">
        <f t="shared" si="11"/>
        <v>0</v>
      </c>
      <c r="N68" s="131">
        <f t="shared" si="12"/>
        <v>0</v>
      </c>
    </row>
    <row r="69" spans="1:33" x14ac:dyDescent="0.2">
      <c r="A69" s="30" t="str">
        <f t="shared" si="13"/>
        <v/>
      </c>
      <c r="B69" s="126" t="str">
        <f t="shared" si="13"/>
        <v/>
      </c>
      <c r="C69" s="127">
        <f t="shared" si="2"/>
        <v>0</v>
      </c>
      <c r="D69" s="127">
        <f t="shared" si="3"/>
        <v>0</v>
      </c>
      <c r="E69" s="127">
        <f t="shared" si="4"/>
        <v>0</v>
      </c>
      <c r="F69" s="127">
        <f t="shared" si="14"/>
        <v>0</v>
      </c>
      <c r="G69" s="127">
        <f t="shared" si="5"/>
        <v>0</v>
      </c>
      <c r="H69" s="127">
        <f t="shared" si="6"/>
        <v>0</v>
      </c>
      <c r="I69" s="128">
        <f t="shared" si="7"/>
        <v>0</v>
      </c>
      <c r="J69" s="128">
        <f t="shared" si="8"/>
        <v>0</v>
      </c>
      <c r="K69" s="128">
        <f t="shared" si="9"/>
        <v>0</v>
      </c>
      <c r="L69" s="129">
        <f t="shared" si="10"/>
        <v>0</v>
      </c>
      <c r="M69" s="130">
        <f t="shared" si="11"/>
        <v>0</v>
      </c>
      <c r="N69" s="131">
        <f t="shared" si="12"/>
        <v>0</v>
      </c>
    </row>
    <row r="70" spans="1:33" x14ac:dyDescent="0.2">
      <c r="A70" s="30" t="str">
        <f t="shared" ref="A70:B82" si="15">IF(A25="","",A25)</f>
        <v/>
      </c>
      <c r="B70" s="126" t="str">
        <f t="shared" si="15"/>
        <v/>
      </c>
      <c r="C70" s="127">
        <f t="shared" si="2"/>
        <v>0</v>
      </c>
      <c r="D70" s="127">
        <f t="shared" si="3"/>
        <v>0</v>
      </c>
      <c r="E70" s="127">
        <f t="shared" si="4"/>
        <v>0</v>
      </c>
      <c r="F70" s="127">
        <f t="shared" si="14"/>
        <v>0</v>
      </c>
      <c r="G70" s="127">
        <f t="shared" si="5"/>
        <v>0</v>
      </c>
      <c r="H70" s="127">
        <f t="shared" si="6"/>
        <v>0</v>
      </c>
      <c r="I70" s="128">
        <f t="shared" si="7"/>
        <v>0</v>
      </c>
      <c r="J70" s="128">
        <f t="shared" si="8"/>
        <v>0</v>
      </c>
      <c r="K70" s="128">
        <f t="shared" si="9"/>
        <v>0</v>
      </c>
      <c r="L70" s="129">
        <f t="shared" si="10"/>
        <v>0</v>
      </c>
      <c r="M70" s="130">
        <f t="shared" si="11"/>
        <v>0</v>
      </c>
      <c r="N70" s="131">
        <f t="shared" si="12"/>
        <v>0</v>
      </c>
    </row>
    <row r="71" spans="1:33" x14ac:dyDescent="0.2">
      <c r="A71" s="30" t="str">
        <f t="shared" si="15"/>
        <v/>
      </c>
      <c r="B71" s="126" t="str">
        <f t="shared" si="15"/>
        <v/>
      </c>
      <c r="C71" s="127">
        <f t="shared" si="2"/>
        <v>0</v>
      </c>
      <c r="D71" s="127">
        <f t="shared" si="3"/>
        <v>0</v>
      </c>
      <c r="E71" s="127">
        <f t="shared" si="4"/>
        <v>0</v>
      </c>
      <c r="F71" s="127">
        <f t="shared" si="14"/>
        <v>0</v>
      </c>
      <c r="G71" s="127">
        <f t="shared" si="5"/>
        <v>0</v>
      </c>
      <c r="H71" s="127">
        <f t="shared" si="6"/>
        <v>0</v>
      </c>
      <c r="I71" s="128">
        <f t="shared" si="7"/>
        <v>0</v>
      </c>
      <c r="J71" s="128">
        <f t="shared" si="8"/>
        <v>0</v>
      </c>
      <c r="K71" s="128">
        <f t="shared" si="9"/>
        <v>0</v>
      </c>
      <c r="L71" s="129">
        <f t="shared" si="10"/>
        <v>0</v>
      </c>
      <c r="M71" s="130">
        <f t="shared" si="11"/>
        <v>0</v>
      </c>
      <c r="N71" s="131">
        <f t="shared" si="12"/>
        <v>0</v>
      </c>
    </row>
    <row r="72" spans="1:33" x14ac:dyDescent="0.2">
      <c r="A72" s="30" t="str">
        <f t="shared" si="15"/>
        <v/>
      </c>
      <c r="B72" s="126" t="str">
        <f t="shared" si="15"/>
        <v/>
      </c>
      <c r="C72" s="127">
        <f t="shared" si="2"/>
        <v>0</v>
      </c>
      <c r="D72" s="127">
        <f t="shared" si="3"/>
        <v>0</v>
      </c>
      <c r="E72" s="127">
        <f t="shared" si="4"/>
        <v>0</v>
      </c>
      <c r="F72" s="127">
        <f t="shared" si="14"/>
        <v>0</v>
      </c>
      <c r="G72" s="127">
        <f t="shared" si="5"/>
        <v>0</v>
      </c>
      <c r="H72" s="127">
        <f t="shared" si="6"/>
        <v>0</v>
      </c>
      <c r="I72" s="128">
        <f t="shared" si="7"/>
        <v>0</v>
      </c>
      <c r="J72" s="128">
        <f t="shared" si="8"/>
        <v>0</v>
      </c>
      <c r="K72" s="128">
        <f t="shared" si="9"/>
        <v>0</v>
      </c>
      <c r="L72" s="129">
        <f t="shared" si="10"/>
        <v>0</v>
      </c>
      <c r="M72" s="130">
        <f t="shared" si="11"/>
        <v>0</v>
      </c>
      <c r="N72" s="131">
        <f t="shared" si="12"/>
        <v>0</v>
      </c>
    </row>
    <row r="73" spans="1:33" ht="18" x14ac:dyDescent="0.35">
      <c r="A73" s="30" t="str">
        <f t="shared" si="15"/>
        <v/>
      </c>
      <c r="B73" s="126" t="str">
        <f t="shared" si="15"/>
        <v/>
      </c>
      <c r="C73" s="127">
        <f t="shared" si="2"/>
        <v>0</v>
      </c>
      <c r="D73" s="127">
        <f t="shared" si="3"/>
        <v>0</v>
      </c>
      <c r="E73" s="127">
        <f t="shared" si="4"/>
        <v>0</v>
      </c>
      <c r="F73" s="127">
        <f t="shared" si="14"/>
        <v>0</v>
      </c>
      <c r="G73" s="127">
        <f t="shared" si="5"/>
        <v>0</v>
      </c>
      <c r="H73" s="127">
        <f t="shared" si="6"/>
        <v>0</v>
      </c>
      <c r="I73" s="128">
        <f t="shared" si="7"/>
        <v>0</v>
      </c>
      <c r="J73" s="128">
        <f t="shared" si="8"/>
        <v>0</v>
      </c>
      <c r="K73" s="128">
        <f t="shared" si="9"/>
        <v>0</v>
      </c>
      <c r="L73" s="129">
        <f t="shared" si="10"/>
        <v>0</v>
      </c>
      <c r="M73" s="130">
        <f t="shared" si="11"/>
        <v>0</v>
      </c>
      <c r="N73" s="131">
        <f t="shared" si="12"/>
        <v>0</v>
      </c>
      <c r="AA73" s="135" t="s">
        <v>63</v>
      </c>
    </row>
    <row r="74" spans="1:33" x14ac:dyDescent="0.2">
      <c r="A74" s="30" t="str">
        <f t="shared" si="15"/>
        <v/>
      </c>
      <c r="B74" s="126" t="str">
        <f t="shared" si="15"/>
        <v/>
      </c>
      <c r="C74" s="127">
        <f t="shared" si="2"/>
        <v>0</v>
      </c>
      <c r="D74" s="127">
        <f t="shared" si="3"/>
        <v>0</v>
      </c>
      <c r="E74" s="127">
        <f t="shared" si="4"/>
        <v>0</v>
      </c>
      <c r="F74" s="127">
        <f t="shared" si="14"/>
        <v>0</v>
      </c>
      <c r="G74" s="127">
        <f t="shared" si="5"/>
        <v>0</v>
      </c>
      <c r="H74" s="127">
        <f t="shared" si="6"/>
        <v>0</v>
      </c>
      <c r="I74" s="128">
        <f t="shared" si="7"/>
        <v>0</v>
      </c>
      <c r="J74" s="128">
        <f t="shared" si="8"/>
        <v>0</v>
      </c>
      <c r="K74" s="128">
        <f t="shared" si="9"/>
        <v>0</v>
      </c>
      <c r="L74" s="129">
        <f t="shared" si="10"/>
        <v>0</v>
      </c>
      <c r="M74" s="130">
        <f t="shared" si="11"/>
        <v>0</v>
      </c>
      <c r="N74" s="131">
        <f t="shared" si="12"/>
        <v>0</v>
      </c>
      <c r="AA74" s="137" t="s">
        <v>64</v>
      </c>
    </row>
    <row r="75" spans="1:33" x14ac:dyDescent="0.2">
      <c r="A75" s="30" t="str">
        <f t="shared" si="15"/>
        <v/>
      </c>
      <c r="B75" s="126" t="str">
        <f t="shared" si="15"/>
        <v/>
      </c>
      <c r="C75" s="127">
        <f t="shared" si="2"/>
        <v>0</v>
      </c>
      <c r="D75" s="127">
        <f t="shared" si="3"/>
        <v>0</v>
      </c>
      <c r="E75" s="127">
        <f t="shared" si="4"/>
        <v>0</v>
      </c>
      <c r="F75" s="127">
        <f t="shared" si="14"/>
        <v>0</v>
      </c>
      <c r="G75" s="127">
        <f t="shared" si="5"/>
        <v>0</v>
      </c>
      <c r="H75" s="127">
        <f t="shared" si="6"/>
        <v>0</v>
      </c>
      <c r="I75" s="128">
        <f t="shared" si="7"/>
        <v>0</v>
      </c>
      <c r="J75" s="128">
        <f t="shared" si="8"/>
        <v>0</v>
      </c>
      <c r="K75" s="128">
        <f t="shared" si="9"/>
        <v>0</v>
      </c>
      <c r="L75" s="129">
        <f t="shared" si="10"/>
        <v>0</v>
      </c>
      <c r="M75" s="130">
        <f t="shared" si="11"/>
        <v>0</v>
      </c>
      <c r="N75" s="131">
        <f t="shared" si="12"/>
        <v>0</v>
      </c>
      <c r="AA75" s="137" t="s">
        <v>65</v>
      </c>
    </row>
    <row r="76" spans="1:33" x14ac:dyDescent="0.2">
      <c r="A76" s="30" t="str">
        <f t="shared" si="15"/>
        <v/>
      </c>
      <c r="B76" s="126" t="str">
        <f t="shared" si="15"/>
        <v/>
      </c>
      <c r="C76" s="127">
        <f t="shared" si="2"/>
        <v>0</v>
      </c>
      <c r="D76" s="127">
        <f t="shared" si="3"/>
        <v>0</v>
      </c>
      <c r="E76" s="127">
        <f t="shared" si="4"/>
        <v>0</v>
      </c>
      <c r="F76" s="127">
        <f t="shared" si="14"/>
        <v>0</v>
      </c>
      <c r="G76" s="127">
        <f t="shared" si="5"/>
        <v>0</v>
      </c>
      <c r="H76" s="127">
        <f t="shared" si="6"/>
        <v>0</v>
      </c>
      <c r="I76" s="128">
        <f t="shared" si="7"/>
        <v>0</v>
      </c>
      <c r="J76" s="128">
        <f t="shared" si="8"/>
        <v>0</v>
      </c>
      <c r="K76" s="128">
        <f t="shared" si="9"/>
        <v>0</v>
      </c>
      <c r="L76" s="129">
        <f t="shared" si="10"/>
        <v>0</v>
      </c>
      <c r="M76" s="130">
        <f t="shared" si="11"/>
        <v>0</v>
      </c>
      <c r="N76" s="131">
        <f t="shared" si="12"/>
        <v>0</v>
      </c>
      <c r="AA76" s="137" t="s">
        <v>66</v>
      </c>
    </row>
    <row r="77" spans="1:33" x14ac:dyDescent="0.2">
      <c r="A77" s="30" t="str">
        <f t="shared" si="15"/>
        <v/>
      </c>
      <c r="B77" s="126" t="str">
        <f t="shared" si="15"/>
        <v/>
      </c>
      <c r="C77" s="127">
        <f t="shared" si="2"/>
        <v>0</v>
      </c>
      <c r="D77" s="127">
        <f t="shared" si="3"/>
        <v>0</v>
      </c>
      <c r="E77" s="127">
        <f t="shared" si="4"/>
        <v>0</v>
      </c>
      <c r="F77" s="127">
        <f t="shared" si="14"/>
        <v>0</v>
      </c>
      <c r="G77" s="127">
        <f t="shared" si="5"/>
        <v>0</v>
      </c>
      <c r="H77" s="127">
        <f t="shared" si="6"/>
        <v>0</v>
      </c>
      <c r="I77" s="128">
        <f t="shared" si="7"/>
        <v>0</v>
      </c>
      <c r="J77" s="128">
        <f t="shared" si="8"/>
        <v>0</v>
      </c>
      <c r="K77" s="128">
        <f t="shared" si="9"/>
        <v>0</v>
      </c>
      <c r="L77" s="129">
        <f t="shared" si="10"/>
        <v>0</v>
      </c>
      <c r="M77" s="130">
        <f t="shared" si="11"/>
        <v>0</v>
      </c>
      <c r="N77" s="131">
        <f t="shared" si="12"/>
        <v>0</v>
      </c>
      <c r="AA77" s="137" t="s">
        <v>67</v>
      </c>
    </row>
    <row r="78" spans="1:33" x14ac:dyDescent="0.2">
      <c r="A78" s="30" t="str">
        <f t="shared" si="15"/>
        <v/>
      </c>
      <c r="B78" s="126" t="str">
        <f t="shared" si="15"/>
        <v/>
      </c>
      <c r="C78" s="127">
        <f t="shared" si="2"/>
        <v>0</v>
      </c>
      <c r="D78" s="127">
        <f t="shared" si="3"/>
        <v>0</v>
      </c>
      <c r="E78" s="127">
        <f t="shared" si="4"/>
        <v>0</v>
      </c>
      <c r="F78" s="127">
        <f t="shared" si="14"/>
        <v>0</v>
      </c>
      <c r="G78" s="127">
        <f t="shared" si="5"/>
        <v>0</v>
      </c>
      <c r="H78" s="127">
        <f t="shared" si="6"/>
        <v>0</v>
      </c>
      <c r="I78" s="128">
        <f t="shared" si="7"/>
        <v>0</v>
      </c>
      <c r="J78" s="128">
        <f t="shared" si="8"/>
        <v>0</v>
      </c>
      <c r="K78" s="128">
        <f t="shared" si="9"/>
        <v>0</v>
      </c>
      <c r="L78" s="129">
        <f t="shared" si="10"/>
        <v>0</v>
      </c>
      <c r="M78" s="130">
        <f t="shared" si="11"/>
        <v>0</v>
      </c>
      <c r="N78" s="131">
        <f t="shared" si="12"/>
        <v>0</v>
      </c>
      <c r="AA78" s="137" t="s">
        <v>68</v>
      </c>
    </row>
    <row r="79" spans="1:33" x14ac:dyDescent="0.2">
      <c r="A79" s="30" t="str">
        <f t="shared" si="15"/>
        <v/>
      </c>
      <c r="B79" s="126" t="str">
        <f t="shared" si="15"/>
        <v/>
      </c>
      <c r="C79" s="127">
        <f t="shared" si="2"/>
        <v>0</v>
      </c>
      <c r="D79" s="127">
        <f t="shared" si="3"/>
        <v>0</v>
      </c>
      <c r="E79" s="127">
        <f t="shared" si="4"/>
        <v>0</v>
      </c>
      <c r="F79" s="127">
        <f t="shared" si="14"/>
        <v>0</v>
      </c>
      <c r="G79" s="127">
        <f t="shared" si="5"/>
        <v>0</v>
      </c>
      <c r="H79" s="127">
        <f t="shared" si="6"/>
        <v>0</v>
      </c>
      <c r="I79" s="128">
        <f t="shared" si="7"/>
        <v>0</v>
      </c>
      <c r="J79" s="128">
        <f t="shared" si="8"/>
        <v>0</v>
      </c>
      <c r="K79" s="128">
        <f t="shared" si="9"/>
        <v>0</v>
      </c>
      <c r="L79" s="129">
        <f t="shared" si="10"/>
        <v>0</v>
      </c>
      <c r="M79" s="130">
        <f t="shared" si="11"/>
        <v>0</v>
      </c>
      <c r="N79" s="131">
        <f t="shared" si="12"/>
        <v>0</v>
      </c>
      <c r="AA79" s="78"/>
    </row>
    <row r="80" spans="1:33" x14ac:dyDescent="0.2">
      <c r="A80" s="30" t="str">
        <f t="shared" si="15"/>
        <v/>
      </c>
      <c r="B80" s="126" t="str">
        <f t="shared" si="15"/>
        <v/>
      </c>
      <c r="C80" s="127">
        <f t="shared" si="2"/>
        <v>0</v>
      </c>
      <c r="D80" s="127">
        <f t="shared" si="3"/>
        <v>0</v>
      </c>
      <c r="E80" s="127">
        <f t="shared" si="4"/>
        <v>0</v>
      </c>
      <c r="F80" s="127">
        <f t="shared" si="14"/>
        <v>0</v>
      </c>
      <c r="G80" s="127">
        <f t="shared" si="5"/>
        <v>0</v>
      </c>
      <c r="H80" s="127">
        <f t="shared" si="6"/>
        <v>0</v>
      </c>
      <c r="I80" s="128">
        <f t="shared" si="7"/>
        <v>0</v>
      </c>
      <c r="J80" s="128">
        <f t="shared" si="8"/>
        <v>0</v>
      </c>
      <c r="K80" s="128">
        <f t="shared" si="9"/>
        <v>0</v>
      </c>
      <c r="L80" s="129">
        <f t="shared" si="10"/>
        <v>0</v>
      </c>
      <c r="M80" s="130">
        <f t="shared" si="11"/>
        <v>0</v>
      </c>
      <c r="N80" s="131">
        <f t="shared" si="12"/>
        <v>0</v>
      </c>
    </row>
    <row r="81" spans="1:14" x14ac:dyDescent="0.2">
      <c r="A81" s="30" t="str">
        <f t="shared" si="15"/>
        <v/>
      </c>
      <c r="B81" s="126" t="str">
        <f t="shared" si="15"/>
        <v/>
      </c>
      <c r="C81" s="127">
        <f t="shared" si="2"/>
        <v>0</v>
      </c>
      <c r="D81" s="127">
        <f t="shared" si="3"/>
        <v>0</v>
      </c>
      <c r="E81" s="127">
        <f t="shared" si="4"/>
        <v>0</v>
      </c>
      <c r="F81" s="127">
        <f t="shared" si="14"/>
        <v>0</v>
      </c>
      <c r="G81" s="127">
        <f t="shared" si="5"/>
        <v>0</v>
      </c>
      <c r="H81" s="127">
        <f t="shared" si="6"/>
        <v>0</v>
      </c>
      <c r="I81" s="128">
        <f t="shared" si="7"/>
        <v>0</v>
      </c>
      <c r="J81" s="128">
        <f t="shared" si="8"/>
        <v>0</v>
      </c>
      <c r="K81" s="128">
        <f t="shared" si="9"/>
        <v>0</v>
      </c>
      <c r="L81" s="129">
        <f t="shared" si="10"/>
        <v>0</v>
      </c>
      <c r="M81" s="130">
        <f t="shared" si="11"/>
        <v>0</v>
      </c>
      <c r="N81" s="131">
        <f t="shared" si="12"/>
        <v>0</v>
      </c>
    </row>
    <row r="82" spans="1:14" x14ac:dyDescent="0.2">
      <c r="A82" s="30" t="str">
        <f t="shared" si="15"/>
        <v/>
      </c>
      <c r="B82" s="126" t="str">
        <f>IF(B37="","",B37)</f>
        <v/>
      </c>
      <c r="C82" s="127">
        <f t="shared" si="2"/>
        <v>0</v>
      </c>
      <c r="D82" s="127">
        <f t="shared" si="3"/>
        <v>0</v>
      </c>
      <c r="E82" s="127">
        <f t="shared" si="4"/>
        <v>0</v>
      </c>
      <c r="F82" s="127">
        <f t="shared" si="14"/>
        <v>0</v>
      </c>
      <c r="G82" s="127">
        <f t="shared" si="5"/>
        <v>0</v>
      </c>
      <c r="H82" s="127">
        <f t="shared" si="6"/>
        <v>0</v>
      </c>
      <c r="I82" s="128">
        <f t="shared" si="7"/>
        <v>0</v>
      </c>
      <c r="J82" s="128">
        <f t="shared" si="8"/>
        <v>0</v>
      </c>
      <c r="K82" s="128">
        <f t="shared" si="9"/>
        <v>0</v>
      </c>
      <c r="L82" s="129">
        <f t="shared" si="10"/>
        <v>0</v>
      </c>
      <c r="M82" s="130">
        <f t="shared" si="11"/>
        <v>0</v>
      </c>
      <c r="N82" s="131">
        <f t="shared" si="12"/>
        <v>0</v>
      </c>
    </row>
    <row r="83" spans="1:14" x14ac:dyDescent="0.2">
      <c r="A83" s="121" t="s">
        <v>69</v>
      </c>
      <c r="B83" s="138">
        <f t="shared" ref="B83:N83" si="16">SUM(B53:B82)</f>
        <v>0</v>
      </c>
      <c r="C83" s="127">
        <f t="shared" si="16"/>
        <v>0</v>
      </c>
      <c r="D83" s="127">
        <f t="shared" si="16"/>
        <v>0</v>
      </c>
      <c r="E83" s="127">
        <f t="shared" si="16"/>
        <v>0</v>
      </c>
      <c r="F83" s="127">
        <f t="shared" si="16"/>
        <v>0</v>
      </c>
      <c r="G83" s="127">
        <f t="shared" si="16"/>
        <v>0</v>
      </c>
      <c r="H83" s="127">
        <f t="shared" si="16"/>
        <v>0</v>
      </c>
      <c r="I83" s="128">
        <f t="shared" si="16"/>
        <v>0</v>
      </c>
      <c r="J83" s="128">
        <f t="shared" si="16"/>
        <v>0</v>
      </c>
      <c r="K83" s="128">
        <f t="shared" si="16"/>
        <v>0</v>
      </c>
      <c r="L83" s="127">
        <f t="shared" si="16"/>
        <v>0</v>
      </c>
      <c r="M83" s="139">
        <f t="shared" si="16"/>
        <v>0</v>
      </c>
      <c r="N83" s="128">
        <f t="shared" si="16"/>
        <v>0</v>
      </c>
    </row>
    <row r="84" spans="1:14" x14ac:dyDescent="0.2">
      <c r="A84" s="121" t="s">
        <v>70</v>
      </c>
      <c r="B84" s="96">
        <v>0</v>
      </c>
      <c r="C84" s="138"/>
      <c r="D84" s="138"/>
      <c r="E84" s="138"/>
      <c r="F84" s="138"/>
      <c r="G84" s="138"/>
      <c r="H84" s="138"/>
      <c r="I84" s="140"/>
      <c r="J84" s="141"/>
      <c r="K84" s="141"/>
      <c r="L84" s="142"/>
      <c r="M84" s="143"/>
      <c r="N84" s="144"/>
    </row>
    <row r="85" spans="1:14" x14ac:dyDescent="0.2">
      <c r="A85" s="121" t="s">
        <v>71</v>
      </c>
      <c r="B85" s="138">
        <f>B83-B83*B84/100</f>
        <v>0</v>
      </c>
      <c r="C85" s="127">
        <f>C83-B83*B84/100</f>
        <v>0</v>
      </c>
      <c r="D85" s="127">
        <f t="shared" ref="D85:L85" si="17">SUM(D53:D82)</f>
        <v>0</v>
      </c>
      <c r="E85" s="127">
        <f t="shared" si="17"/>
        <v>0</v>
      </c>
      <c r="F85" s="127">
        <f>SUM(F53:F82)</f>
        <v>0</v>
      </c>
      <c r="G85" s="127">
        <f t="shared" si="17"/>
        <v>0</v>
      </c>
      <c r="H85" s="127">
        <f t="shared" si="17"/>
        <v>0</v>
      </c>
      <c r="I85" s="128">
        <f t="shared" si="17"/>
        <v>0</v>
      </c>
      <c r="J85" s="145">
        <f t="shared" si="17"/>
        <v>0</v>
      </c>
      <c r="K85" s="145">
        <f t="shared" si="17"/>
        <v>0</v>
      </c>
      <c r="L85" s="146">
        <f t="shared" si="17"/>
        <v>0</v>
      </c>
      <c r="M85" s="147">
        <f>SUM(M53:M82)</f>
        <v>0</v>
      </c>
      <c r="N85" s="148">
        <f>SUM(N53:N82)</f>
        <v>0</v>
      </c>
    </row>
    <row r="86" spans="1:14" x14ac:dyDescent="0.2">
      <c r="A86" s="121" t="s">
        <v>72</v>
      </c>
      <c r="B86" s="149" t="e">
        <f>SUM(C86:H86)</f>
        <v>#DIV/0!</v>
      </c>
      <c r="C86" s="149" t="e">
        <f>ROUND(+C85/B85*100,1)</f>
        <v>#DIV/0!</v>
      </c>
      <c r="D86" s="149" t="e">
        <f>ROUND(+D85/B85*100,1)</f>
        <v>#DIV/0!</v>
      </c>
      <c r="E86" s="149" t="e">
        <f>ROUND(+E85/B85*100,1)</f>
        <v>#DIV/0!</v>
      </c>
      <c r="F86" s="149" t="e">
        <f>ROUND(+F85/B85*100,1)</f>
        <v>#DIV/0!</v>
      </c>
      <c r="G86" s="149" t="e">
        <f>ROUND(+G85/B85*100,1)</f>
        <v>#DIV/0!</v>
      </c>
      <c r="H86" s="149" t="e">
        <f>ROUND(+H85/B85*100,1)</f>
        <v>#DIV/0!</v>
      </c>
      <c r="I86" s="150" t="e">
        <f>ROUND(+I85/B85*100,1)</f>
        <v>#DIV/0!</v>
      </c>
      <c r="J86" s="128" t="e">
        <f>(+J85/B85*100)</f>
        <v>#DIV/0!</v>
      </c>
      <c r="K86" s="128" t="e">
        <f>(+K85/B85*100)</f>
        <v>#DIV/0!</v>
      </c>
      <c r="L86" s="146" t="e">
        <f>(+L85/B85*100)</f>
        <v>#DIV/0!</v>
      </c>
      <c r="M86" s="151" t="e">
        <f>(+M85/B85*100)</f>
        <v>#DIV/0!</v>
      </c>
      <c r="N86" s="148" t="e">
        <f>(+N85/B85*100)</f>
        <v>#DIV/0!</v>
      </c>
    </row>
    <row r="87" spans="1:14" x14ac:dyDescent="0.2">
      <c r="A87" s="121" t="s">
        <v>73</v>
      </c>
      <c r="B87" s="149" t="e">
        <f>SUM(C87:H87)</f>
        <v>#DIV/0!</v>
      </c>
      <c r="C87" s="152">
        <v>0</v>
      </c>
      <c r="D87" s="152">
        <v>0</v>
      </c>
      <c r="E87" s="152">
        <v>0</v>
      </c>
      <c r="F87" s="149" t="e">
        <f>F86+100-B86</f>
        <v>#DIV/0!</v>
      </c>
      <c r="G87" s="152">
        <v>0</v>
      </c>
      <c r="H87" s="152">
        <v>0</v>
      </c>
      <c r="I87" s="152">
        <v>0</v>
      </c>
      <c r="J87" s="153">
        <v>0</v>
      </c>
      <c r="K87" s="153">
        <v>0</v>
      </c>
      <c r="L87" s="152">
        <v>0</v>
      </c>
      <c r="M87" s="154">
        <v>0</v>
      </c>
      <c r="N87" s="218">
        <v>0</v>
      </c>
    </row>
    <row r="88" spans="1:14" x14ac:dyDescent="0.2">
      <c r="A88" s="84"/>
      <c r="B88" s="84"/>
      <c r="C88" s="84" t="s">
        <v>74</v>
      </c>
      <c r="D88" s="84"/>
      <c r="E88" s="84"/>
      <c r="F88" s="84"/>
      <c r="G88" s="155"/>
      <c r="H88" s="156"/>
      <c r="I88" s="84"/>
      <c r="J88" s="215"/>
      <c r="K88" s="214"/>
      <c r="L88" s="86"/>
      <c r="M88" s="87"/>
      <c r="N88" s="86"/>
    </row>
    <row r="89" spans="1:14" x14ac:dyDescent="0.2">
      <c r="A89" s="121" t="s">
        <v>50</v>
      </c>
      <c r="B89" s="121" t="s">
        <v>51</v>
      </c>
      <c r="C89" s="121" t="s">
        <v>15</v>
      </c>
      <c r="D89" s="121" t="s">
        <v>16</v>
      </c>
      <c r="E89" s="121" t="s">
        <v>17</v>
      </c>
      <c r="F89" s="121" t="s">
        <v>18</v>
      </c>
      <c r="G89" s="121" t="s">
        <v>19</v>
      </c>
      <c r="H89" s="121" t="s">
        <v>20</v>
      </c>
      <c r="I89" s="122" t="s">
        <v>52</v>
      </c>
      <c r="J89" s="123" t="s">
        <v>22</v>
      </c>
      <c r="K89" s="124" t="s">
        <v>23</v>
      </c>
      <c r="L89" s="125" t="s">
        <v>59</v>
      </c>
      <c r="M89" s="91" t="str">
        <f>M7</f>
        <v>ｴﾘｽﾘﾄｰﾙ</v>
      </c>
      <c r="N89" s="92">
        <f>N7</f>
        <v>0</v>
      </c>
    </row>
    <row r="90" spans="1:14" x14ac:dyDescent="0.2">
      <c r="A90" s="94" t="s">
        <v>56</v>
      </c>
      <c r="B90" s="138">
        <f>B40*(100-B84)/100</f>
        <v>100</v>
      </c>
      <c r="C90" s="127">
        <f>C87/100*B90</f>
        <v>0</v>
      </c>
      <c r="D90" s="127">
        <f>D87/100*B90</f>
        <v>0</v>
      </c>
      <c r="E90" s="127">
        <f>E87/100*B90</f>
        <v>0</v>
      </c>
      <c r="F90" s="127" t="e">
        <f>F87/100*B90</f>
        <v>#DIV/0!</v>
      </c>
      <c r="G90" s="127">
        <f>G87/100*B90</f>
        <v>0</v>
      </c>
      <c r="H90" s="127">
        <f>H87/100*B90</f>
        <v>0</v>
      </c>
      <c r="I90" s="128">
        <f>I87/100*B90</f>
        <v>0</v>
      </c>
      <c r="J90" s="141">
        <f>J87/100*B90</f>
        <v>0</v>
      </c>
      <c r="K90" s="141">
        <f>K87/100*B90</f>
        <v>0</v>
      </c>
      <c r="L90" s="142">
        <f>L87/100*B90</f>
        <v>0</v>
      </c>
      <c r="M90" s="143">
        <f>M87/100*B90</f>
        <v>0</v>
      </c>
      <c r="N90" s="144">
        <f>N87/100*B90</f>
        <v>0</v>
      </c>
    </row>
    <row r="91" spans="1:14" x14ac:dyDescent="0.2">
      <c r="A91" s="25" t="str">
        <f>IF(A41="","",A41)</f>
        <v/>
      </c>
      <c r="B91" s="126" t="str">
        <f>IF(B41="","",B41)</f>
        <v/>
      </c>
      <c r="C91" s="127">
        <f>C41/100*B91</f>
        <v>0</v>
      </c>
      <c r="D91" s="127">
        <f>D41/100*B91</f>
        <v>0</v>
      </c>
      <c r="E91" s="127">
        <f>E41/100*B91</f>
        <v>0</v>
      </c>
      <c r="F91" s="127">
        <f>F41/100*B91</f>
        <v>0</v>
      </c>
      <c r="G91" s="127">
        <f>G41/100*B91</f>
        <v>0</v>
      </c>
      <c r="H91" s="127">
        <f t="shared" ref="H91:H99" si="18">H41/100*B91</f>
        <v>0</v>
      </c>
      <c r="I91" s="128">
        <f t="shared" ref="I91:I99" si="19">I41/100*B91</f>
        <v>0</v>
      </c>
      <c r="J91" s="141">
        <f t="shared" ref="J91:J99" si="20">J41/100*B91</f>
        <v>0</v>
      </c>
      <c r="K91" s="141">
        <f t="shared" ref="K91:K99" si="21">K41/100*B91</f>
        <v>0</v>
      </c>
      <c r="L91" s="157">
        <f t="shared" ref="L91:L99" si="22">L41/100*B91</f>
        <v>0</v>
      </c>
      <c r="M91" s="158">
        <f>M41/100*B91</f>
        <v>0</v>
      </c>
      <c r="N91" s="141">
        <f>N41/100*B91</f>
        <v>0</v>
      </c>
    </row>
    <row r="92" spans="1:14" x14ac:dyDescent="0.2">
      <c r="A92" s="30" t="str">
        <f t="shared" ref="A92:B99" si="23">IF(A42="","",A42)</f>
        <v/>
      </c>
      <c r="B92" s="126" t="str">
        <f t="shared" si="23"/>
        <v/>
      </c>
      <c r="C92" s="127">
        <f t="shared" ref="C92:C99" si="24">C42/100*B92</f>
        <v>0</v>
      </c>
      <c r="D92" s="127">
        <f t="shared" ref="D92:D99" si="25">D42/100*B92</f>
        <v>0</v>
      </c>
      <c r="E92" s="127">
        <f t="shared" ref="E92:E99" si="26">E42/100*B92</f>
        <v>0</v>
      </c>
      <c r="F92" s="127">
        <f>F42/100*B92</f>
        <v>0</v>
      </c>
      <c r="G92" s="127">
        <f t="shared" ref="G92:G99" si="27">G42/100*B92</f>
        <v>0</v>
      </c>
      <c r="H92" s="127">
        <f t="shared" si="18"/>
        <v>0</v>
      </c>
      <c r="I92" s="128">
        <f t="shared" si="19"/>
        <v>0</v>
      </c>
      <c r="J92" s="141">
        <f t="shared" si="20"/>
        <v>0</v>
      </c>
      <c r="K92" s="141">
        <f t="shared" si="21"/>
        <v>0</v>
      </c>
      <c r="L92" s="157">
        <f t="shared" si="22"/>
        <v>0</v>
      </c>
      <c r="M92" s="158">
        <f t="shared" ref="M92:M99" si="28">M42/100*B92</f>
        <v>0</v>
      </c>
      <c r="N92" s="141">
        <f t="shared" ref="N92:N99" si="29">N42/100*B92</f>
        <v>0</v>
      </c>
    </row>
    <row r="93" spans="1:14" x14ac:dyDescent="0.2">
      <c r="A93" s="30" t="str">
        <f t="shared" si="23"/>
        <v/>
      </c>
      <c r="B93" s="126" t="str">
        <f t="shared" si="23"/>
        <v/>
      </c>
      <c r="C93" s="127">
        <f t="shared" si="24"/>
        <v>0</v>
      </c>
      <c r="D93" s="127">
        <f t="shared" si="25"/>
        <v>0</v>
      </c>
      <c r="E93" s="127">
        <f t="shared" si="26"/>
        <v>0</v>
      </c>
      <c r="F93" s="127">
        <f>F43/100*B93</f>
        <v>0</v>
      </c>
      <c r="G93" s="127">
        <f t="shared" si="27"/>
        <v>0</v>
      </c>
      <c r="H93" s="127">
        <f t="shared" si="18"/>
        <v>0</v>
      </c>
      <c r="I93" s="128">
        <f t="shared" si="19"/>
        <v>0</v>
      </c>
      <c r="J93" s="141">
        <f t="shared" si="20"/>
        <v>0</v>
      </c>
      <c r="K93" s="141">
        <f t="shared" si="21"/>
        <v>0</v>
      </c>
      <c r="L93" s="157">
        <f t="shared" si="22"/>
        <v>0</v>
      </c>
      <c r="M93" s="158">
        <f t="shared" si="28"/>
        <v>0</v>
      </c>
      <c r="N93" s="141">
        <f t="shared" si="29"/>
        <v>0</v>
      </c>
    </row>
    <row r="94" spans="1:14" x14ac:dyDescent="0.2">
      <c r="A94" s="30" t="str">
        <f t="shared" si="23"/>
        <v/>
      </c>
      <c r="B94" s="126" t="str">
        <f t="shared" si="23"/>
        <v/>
      </c>
      <c r="C94" s="127">
        <f t="shared" si="24"/>
        <v>0</v>
      </c>
      <c r="D94" s="127">
        <f t="shared" si="25"/>
        <v>0</v>
      </c>
      <c r="E94" s="127">
        <f t="shared" si="26"/>
        <v>0</v>
      </c>
      <c r="F94" s="127">
        <f t="shared" ref="F94:F99" si="30">F44/100*B94</f>
        <v>0</v>
      </c>
      <c r="G94" s="127">
        <f t="shared" si="27"/>
        <v>0</v>
      </c>
      <c r="H94" s="127">
        <f t="shared" si="18"/>
        <v>0</v>
      </c>
      <c r="I94" s="128">
        <f t="shared" si="19"/>
        <v>0</v>
      </c>
      <c r="J94" s="141">
        <f t="shared" si="20"/>
        <v>0</v>
      </c>
      <c r="K94" s="141">
        <f t="shared" si="21"/>
        <v>0</v>
      </c>
      <c r="L94" s="157">
        <f t="shared" si="22"/>
        <v>0</v>
      </c>
      <c r="M94" s="158">
        <f t="shared" si="28"/>
        <v>0</v>
      </c>
      <c r="N94" s="141">
        <f t="shared" si="29"/>
        <v>0</v>
      </c>
    </row>
    <row r="95" spans="1:14" x14ac:dyDescent="0.2">
      <c r="A95" s="30" t="str">
        <f t="shared" si="23"/>
        <v/>
      </c>
      <c r="B95" s="126" t="str">
        <f t="shared" si="23"/>
        <v/>
      </c>
      <c r="C95" s="127">
        <f t="shared" si="24"/>
        <v>0</v>
      </c>
      <c r="D95" s="127">
        <f t="shared" si="25"/>
        <v>0</v>
      </c>
      <c r="E95" s="127">
        <f t="shared" si="26"/>
        <v>0</v>
      </c>
      <c r="F95" s="127">
        <f>F45/100*B95</f>
        <v>0</v>
      </c>
      <c r="G95" s="127">
        <f t="shared" si="27"/>
        <v>0</v>
      </c>
      <c r="H95" s="127">
        <f t="shared" si="18"/>
        <v>0</v>
      </c>
      <c r="I95" s="128">
        <f t="shared" si="19"/>
        <v>0</v>
      </c>
      <c r="J95" s="141">
        <f t="shared" si="20"/>
        <v>0</v>
      </c>
      <c r="K95" s="141">
        <f t="shared" si="21"/>
        <v>0</v>
      </c>
      <c r="L95" s="157">
        <f t="shared" si="22"/>
        <v>0</v>
      </c>
      <c r="M95" s="158">
        <f t="shared" si="28"/>
        <v>0</v>
      </c>
      <c r="N95" s="141">
        <f t="shared" si="29"/>
        <v>0</v>
      </c>
    </row>
    <row r="96" spans="1:14" x14ac:dyDescent="0.2">
      <c r="A96" s="30" t="str">
        <f t="shared" si="23"/>
        <v/>
      </c>
      <c r="B96" s="126" t="str">
        <f t="shared" si="23"/>
        <v/>
      </c>
      <c r="C96" s="127">
        <f t="shared" si="24"/>
        <v>0</v>
      </c>
      <c r="D96" s="127">
        <f t="shared" si="25"/>
        <v>0</v>
      </c>
      <c r="E96" s="127">
        <f t="shared" si="26"/>
        <v>0</v>
      </c>
      <c r="F96" s="127">
        <f t="shared" si="30"/>
        <v>0</v>
      </c>
      <c r="G96" s="127">
        <f t="shared" si="27"/>
        <v>0</v>
      </c>
      <c r="H96" s="127">
        <f t="shared" si="18"/>
        <v>0</v>
      </c>
      <c r="I96" s="128">
        <f t="shared" si="19"/>
        <v>0</v>
      </c>
      <c r="J96" s="141">
        <f t="shared" si="20"/>
        <v>0</v>
      </c>
      <c r="K96" s="141">
        <f t="shared" si="21"/>
        <v>0</v>
      </c>
      <c r="L96" s="157">
        <f t="shared" si="22"/>
        <v>0</v>
      </c>
      <c r="M96" s="158">
        <f t="shared" si="28"/>
        <v>0</v>
      </c>
      <c r="N96" s="141">
        <f t="shared" si="29"/>
        <v>0</v>
      </c>
    </row>
    <row r="97" spans="1:14" x14ac:dyDescent="0.2">
      <c r="A97" s="30" t="str">
        <f t="shared" si="23"/>
        <v/>
      </c>
      <c r="B97" s="126" t="str">
        <f t="shared" si="23"/>
        <v/>
      </c>
      <c r="C97" s="127">
        <f t="shared" si="24"/>
        <v>0</v>
      </c>
      <c r="D97" s="127">
        <f t="shared" si="25"/>
        <v>0</v>
      </c>
      <c r="E97" s="127">
        <f t="shared" si="26"/>
        <v>0</v>
      </c>
      <c r="F97" s="127">
        <f t="shared" si="30"/>
        <v>0</v>
      </c>
      <c r="G97" s="127">
        <f t="shared" si="27"/>
        <v>0</v>
      </c>
      <c r="H97" s="127">
        <f t="shared" si="18"/>
        <v>0</v>
      </c>
      <c r="I97" s="128">
        <f t="shared" si="19"/>
        <v>0</v>
      </c>
      <c r="J97" s="141">
        <f t="shared" si="20"/>
        <v>0</v>
      </c>
      <c r="K97" s="141">
        <f t="shared" si="21"/>
        <v>0</v>
      </c>
      <c r="L97" s="157">
        <f t="shared" si="22"/>
        <v>0</v>
      </c>
      <c r="M97" s="158">
        <f t="shared" si="28"/>
        <v>0</v>
      </c>
      <c r="N97" s="141">
        <f t="shared" si="29"/>
        <v>0</v>
      </c>
    </row>
    <row r="98" spans="1:14" x14ac:dyDescent="0.2">
      <c r="A98" s="30" t="str">
        <f t="shared" si="23"/>
        <v/>
      </c>
      <c r="B98" s="126" t="str">
        <f t="shared" si="23"/>
        <v/>
      </c>
      <c r="C98" s="127">
        <f t="shared" si="24"/>
        <v>0</v>
      </c>
      <c r="D98" s="127">
        <f t="shared" si="25"/>
        <v>0</v>
      </c>
      <c r="E98" s="127">
        <f t="shared" si="26"/>
        <v>0</v>
      </c>
      <c r="F98" s="127">
        <f t="shared" si="30"/>
        <v>0</v>
      </c>
      <c r="G98" s="127">
        <f t="shared" si="27"/>
        <v>0</v>
      </c>
      <c r="H98" s="127">
        <f t="shared" si="18"/>
        <v>0</v>
      </c>
      <c r="I98" s="128">
        <f t="shared" si="19"/>
        <v>0</v>
      </c>
      <c r="J98" s="141">
        <f t="shared" si="20"/>
        <v>0</v>
      </c>
      <c r="K98" s="141">
        <f t="shared" si="21"/>
        <v>0</v>
      </c>
      <c r="L98" s="157">
        <f t="shared" si="22"/>
        <v>0</v>
      </c>
      <c r="M98" s="158">
        <f t="shared" si="28"/>
        <v>0</v>
      </c>
      <c r="N98" s="141">
        <f t="shared" si="29"/>
        <v>0</v>
      </c>
    </row>
    <row r="99" spans="1:14" x14ac:dyDescent="0.2">
      <c r="A99" s="30" t="str">
        <f t="shared" si="23"/>
        <v/>
      </c>
      <c r="B99" s="126" t="str">
        <f t="shared" si="23"/>
        <v/>
      </c>
      <c r="C99" s="127">
        <f t="shared" si="24"/>
        <v>0</v>
      </c>
      <c r="D99" s="127">
        <f t="shared" si="25"/>
        <v>0</v>
      </c>
      <c r="E99" s="127">
        <f t="shared" si="26"/>
        <v>0</v>
      </c>
      <c r="F99" s="127">
        <f t="shared" si="30"/>
        <v>0</v>
      </c>
      <c r="G99" s="127">
        <f t="shared" si="27"/>
        <v>0</v>
      </c>
      <c r="H99" s="127">
        <f t="shared" si="18"/>
        <v>0</v>
      </c>
      <c r="I99" s="128">
        <f t="shared" si="19"/>
        <v>0</v>
      </c>
      <c r="J99" s="141">
        <f t="shared" si="20"/>
        <v>0</v>
      </c>
      <c r="K99" s="141">
        <f t="shared" si="21"/>
        <v>0</v>
      </c>
      <c r="L99" s="157">
        <f t="shared" si="22"/>
        <v>0</v>
      </c>
      <c r="M99" s="158">
        <f t="shared" si="28"/>
        <v>0</v>
      </c>
      <c r="N99" s="141">
        <f t="shared" si="29"/>
        <v>0</v>
      </c>
    </row>
    <row r="100" spans="1:14" x14ac:dyDescent="0.2">
      <c r="A100" s="121" t="s">
        <v>69</v>
      </c>
      <c r="B100" s="138">
        <f t="shared" ref="B100:N100" si="31">SUM(B90:B99)</f>
        <v>100</v>
      </c>
      <c r="C100" s="127">
        <f t="shared" si="31"/>
        <v>0</v>
      </c>
      <c r="D100" s="127">
        <f t="shared" si="31"/>
        <v>0</v>
      </c>
      <c r="E100" s="127">
        <f t="shared" si="31"/>
        <v>0</v>
      </c>
      <c r="F100" s="127" t="e">
        <f>SUM(F90:F99)</f>
        <v>#DIV/0!</v>
      </c>
      <c r="G100" s="127">
        <f>SUM(G90:G99)</f>
        <v>0</v>
      </c>
      <c r="H100" s="127">
        <f t="shared" si="31"/>
        <v>0</v>
      </c>
      <c r="I100" s="128">
        <f t="shared" si="31"/>
        <v>0</v>
      </c>
      <c r="J100" s="128">
        <f t="shared" si="31"/>
        <v>0</v>
      </c>
      <c r="K100" s="128">
        <f t="shared" si="31"/>
        <v>0</v>
      </c>
      <c r="L100" s="127">
        <f t="shared" si="31"/>
        <v>0</v>
      </c>
      <c r="M100" s="139">
        <f t="shared" si="31"/>
        <v>0</v>
      </c>
      <c r="N100" s="128">
        <f t="shared" si="31"/>
        <v>0</v>
      </c>
    </row>
    <row r="101" spans="1:14" x14ac:dyDescent="0.2">
      <c r="A101" s="121" t="s">
        <v>70</v>
      </c>
      <c r="B101" s="96">
        <v>0</v>
      </c>
      <c r="C101" s="138"/>
      <c r="D101" s="138"/>
      <c r="E101" s="138"/>
      <c r="F101" s="138"/>
      <c r="G101" s="138"/>
      <c r="H101" s="138"/>
      <c r="I101" s="140"/>
      <c r="J101" s="140"/>
      <c r="K101" s="140"/>
      <c r="L101" s="142"/>
      <c r="M101" s="143"/>
      <c r="N101" s="144"/>
    </row>
    <row r="102" spans="1:14" x14ac:dyDescent="0.2">
      <c r="A102" s="121" t="s">
        <v>71</v>
      </c>
      <c r="B102" s="138">
        <f>B100-B100*B101/100</f>
        <v>100</v>
      </c>
      <c r="C102" s="127">
        <f>C100-B100*B101/100</f>
        <v>0</v>
      </c>
      <c r="D102" s="127">
        <f t="shared" ref="D102:N102" si="32">SUM(D90:D99)</f>
        <v>0</v>
      </c>
      <c r="E102" s="127">
        <f t="shared" si="32"/>
        <v>0</v>
      </c>
      <c r="F102" s="127" t="e">
        <f>SUM(F90:F99)</f>
        <v>#DIV/0!</v>
      </c>
      <c r="G102" s="127">
        <f t="shared" si="32"/>
        <v>0</v>
      </c>
      <c r="H102" s="127">
        <f t="shared" si="32"/>
        <v>0</v>
      </c>
      <c r="I102" s="128">
        <f t="shared" si="32"/>
        <v>0</v>
      </c>
      <c r="J102" s="159">
        <f t="shared" si="32"/>
        <v>0</v>
      </c>
      <c r="K102" s="159">
        <f>SUM(K90:K99)</f>
        <v>0</v>
      </c>
      <c r="L102" s="160">
        <f>SUM(L90:L99)</f>
        <v>0</v>
      </c>
      <c r="M102" s="161">
        <f>SUM(M90:M99)</f>
        <v>0</v>
      </c>
      <c r="N102" s="162">
        <f t="shared" si="32"/>
        <v>0</v>
      </c>
    </row>
    <row r="103" spans="1:14" ht="16.8" thickBot="1" x14ac:dyDescent="0.25">
      <c r="A103" s="163" t="s">
        <v>72</v>
      </c>
      <c r="B103" s="164" t="e">
        <f>SUM(C103:H103)</f>
        <v>#DIV/0!</v>
      </c>
      <c r="C103" s="164">
        <f>ROUND(+C102/B102*100,1)</f>
        <v>0</v>
      </c>
      <c r="D103" s="164">
        <f>ROUND(+D102/B102*100,1)</f>
        <v>0</v>
      </c>
      <c r="E103" s="164">
        <f>ROUND(+E102/B102*100,1)</f>
        <v>0</v>
      </c>
      <c r="F103" s="164" t="e">
        <f>ROUND(+F102/B102*100,1)</f>
        <v>#DIV/0!</v>
      </c>
      <c r="G103" s="164">
        <f>ROUND(+G102/B102*100,1)</f>
        <v>0</v>
      </c>
      <c r="H103" s="164">
        <f>ROUND(+H102/B102*100,1)</f>
        <v>0</v>
      </c>
      <c r="I103" s="165">
        <f>ROUND(+I102/B102*100,0)</f>
        <v>0</v>
      </c>
      <c r="J103" s="166">
        <f>ROUND(+J102/B102*100,2)</f>
        <v>0</v>
      </c>
      <c r="K103" s="166">
        <f>ROUND(+K102/B102*100,2)</f>
        <v>0</v>
      </c>
      <c r="L103" s="167">
        <f>ROUND(+L102/B102*100,0)</f>
        <v>0</v>
      </c>
      <c r="M103" s="168">
        <f>ROUND(+M102/B102*100,1)</f>
        <v>0</v>
      </c>
      <c r="N103" s="169">
        <f>ROUND(+N102/B102*100,1)</f>
        <v>0</v>
      </c>
    </row>
    <row r="104" spans="1:14" ht="17.399999999999999" thickTop="1" thickBot="1" x14ac:dyDescent="0.25">
      <c r="A104" s="170" t="s">
        <v>73</v>
      </c>
      <c r="B104" s="171" t="e">
        <f>SUM(C104:H104)</f>
        <v>#DIV/0!</v>
      </c>
      <c r="C104" s="172">
        <v>0</v>
      </c>
      <c r="D104" s="172">
        <v>0</v>
      </c>
      <c r="E104" s="172">
        <v>0</v>
      </c>
      <c r="F104" s="173" t="e">
        <f>F103+100-B103</f>
        <v>#DIV/0!</v>
      </c>
      <c r="G104" s="172">
        <v>0</v>
      </c>
      <c r="H104" s="172">
        <v>0</v>
      </c>
      <c r="I104" s="174">
        <v>0</v>
      </c>
      <c r="J104" s="216">
        <v>0</v>
      </c>
      <c r="K104" s="217">
        <v>0</v>
      </c>
      <c r="L104" s="174">
        <v>0</v>
      </c>
      <c r="M104" s="175">
        <v>0</v>
      </c>
      <c r="N104" s="176">
        <v>0</v>
      </c>
    </row>
    <row r="105" spans="1:14" ht="17.399999999999999" thickTop="1" thickBot="1" x14ac:dyDescent="0.25">
      <c r="A105" s="177"/>
      <c r="B105" s="178"/>
      <c r="C105" s="179"/>
      <c r="D105" s="180"/>
      <c r="E105" s="180"/>
      <c r="F105" s="181" t="s">
        <v>35</v>
      </c>
      <c r="G105" s="182"/>
      <c r="H105" s="180"/>
      <c r="I105" s="180"/>
      <c r="J105" s="180"/>
      <c r="K105" s="180"/>
      <c r="L105" s="11"/>
      <c r="M105" s="11"/>
      <c r="N105" s="11"/>
    </row>
    <row r="106" spans="1:14" ht="17.399999999999999" thickTop="1" thickBot="1" x14ac:dyDescent="0.25">
      <c r="A106" s="183" t="s">
        <v>75</v>
      </c>
      <c r="B106" s="184"/>
      <c r="C106" s="185" t="str">
        <f>IF(COUNTIF(A6,"*ｾﾌﾞﾝﾌﾟﾚﾐｱﾑ*")+COUNTIF(A6,"*7P*"),"7P 複数個入り注意!!","")</f>
        <v/>
      </c>
      <c r="D106" s="180"/>
      <c r="E106" s="180"/>
      <c r="F106" s="186" t="e">
        <f>SUM(F104:G104)</f>
        <v>#DIV/0!</v>
      </c>
      <c r="G106" s="180"/>
      <c r="H106" s="180"/>
      <c r="I106" s="180"/>
      <c r="J106" s="180"/>
      <c r="K106" s="180"/>
      <c r="L106" s="11"/>
      <c r="M106" s="11"/>
      <c r="N106" s="11"/>
    </row>
    <row r="107" spans="1:14" ht="18" x14ac:dyDescent="0.25">
      <c r="A107" s="2"/>
      <c r="B107" s="2"/>
      <c r="C107" s="2"/>
      <c r="D107" s="2"/>
      <c r="E107" s="187"/>
      <c r="F107" s="188"/>
      <c r="G107" s="2"/>
      <c r="H107" s="2"/>
      <c r="I107" s="2"/>
      <c r="J107" s="2"/>
      <c r="K107" s="2"/>
      <c r="L107" s="3"/>
      <c r="M107" s="3"/>
      <c r="N107" s="3"/>
    </row>
    <row r="108" spans="1:14" ht="18.600000000000001" thickBot="1" x14ac:dyDescent="0.3">
      <c r="A108" s="189" t="s">
        <v>76</v>
      </c>
      <c r="B108" s="190"/>
      <c r="C108" s="191" t="e">
        <f>ROUND(+D104*4+E104*9+(F104-M104)*4+G104*2,0)</f>
        <v>#DIV/0!</v>
      </c>
      <c r="D108" s="189" t="s">
        <v>77</v>
      </c>
      <c r="E108" s="192"/>
      <c r="F108" s="209"/>
      <c r="G108" s="210"/>
      <c r="H108" s="211"/>
      <c r="I108" s="209"/>
      <c r="J108" s="209"/>
      <c r="K108" s="212"/>
      <c r="L108" s="3"/>
      <c r="M108" s="3"/>
      <c r="N108" s="3"/>
    </row>
    <row r="109" spans="1:14" ht="16.8" thickTop="1" x14ac:dyDescent="0.2">
      <c r="A109" s="2"/>
      <c r="B109" s="193"/>
      <c r="C109" s="193"/>
      <c r="D109" s="193"/>
      <c r="G109" s="193"/>
      <c r="H109" s="193"/>
      <c r="I109" s="193"/>
      <c r="J109" s="193"/>
      <c r="K109" s="193"/>
      <c r="L109" s="3"/>
      <c r="M109" s="3"/>
      <c r="N109" s="3"/>
    </row>
    <row r="110" spans="1:14" x14ac:dyDescent="0.2">
      <c r="A110" s="2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3"/>
      <c r="M110" s="3"/>
      <c r="N110" s="3"/>
    </row>
    <row r="111" spans="1:14" x14ac:dyDescent="0.2">
      <c r="A111" s="2"/>
      <c r="B111" s="193"/>
      <c r="C111" s="194" t="s">
        <v>78</v>
      </c>
      <c r="D111" s="193"/>
      <c r="E111" s="193"/>
      <c r="F111" s="193"/>
      <c r="G111" s="193"/>
      <c r="H111" s="193"/>
      <c r="I111" s="193"/>
      <c r="J111" s="193"/>
      <c r="K111" s="193"/>
      <c r="L111" s="3"/>
      <c r="M111" s="3"/>
      <c r="N111" s="3"/>
    </row>
    <row r="112" spans="1:14" x14ac:dyDescent="0.2">
      <c r="A112" s="2"/>
      <c r="B112" s="193"/>
      <c r="C112" s="195" t="s">
        <v>79</v>
      </c>
      <c r="D112" s="195" t="s">
        <v>32</v>
      </c>
      <c r="E112" s="195" t="s">
        <v>34</v>
      </c>
      <c r="F112" s="195" t="s">
        <v>35</v>
      </c>
      <c r="G112" s="195" t="s">
        <v>38</v>
      </c>
      <c r="H112" s="195" t="s">
        <v>23</v>
      </c>
      <c r="I112" s="195" t="s">
        <v>80</v>
      </c>
      <c r="J112" s="195" t="s">
        <v>55</v>
      </c>
      <c r="K112" s="195" t="s">
        <v>81</v>
      </c>
      <c r="L112" s="3"/>
      <c r="M112" s="3"/>
      <c r="N112" s="3"/>
    </row>
    <row r="113" spans="1:14" x14ac:dyDescent="0.2">
      <c r="A113" s="2"/>
      <c r="B113" s="193"/>
      <c r="C113" s="196" t="e">
        <f>AG14</f>
        <v>#DIV/0!</v>
      </c>
      <c r="D113" s="197">
        <f>AG15</f>
        <v>0</v>
      </c>
      <c r="E113" s="197">
        <f>AG16</f>
        <v>0</v>
      </c>
      <c r="F113" s="198" t="e">
        <f>AG17</f>
        <v>#DIV/0!</v>
      </c>
      <c r="G113" s="199">
        <f>AG20</f>
        <v>0</v>
      </c>
      <c r="H113" s="200">
        <f>AG27</f>
        <v>0</v>
      </c>
      <c r="I113" s="199">
        <f>IF(AG13&gt;=100,AG28,IF(AE28&lt;0.3,0,AG28))</f>
        <v>0</v>
      </c>
      <c r="J113" s="201">
        <f>IF(AE29&lt;5,0,AG29)</f>
        <v>0</v>
      </c>
      <c r="K113" s="202" t="e">
        <f>AA18&amp;":"&amp;TEXT(AG18,"G/標準")&amp;AH18&amp;CHAR(10)&amp;AA19&amp;":"&amp;TEXT(AG19,"g/標準")&amp;AH19&amp;CHAR(10)&amp;AA21&amp;":"&amp;TEXT(AG21,"g/標準")&amp;AH21&amp;CHAR(10)&amp;AA22&amp;":"&amp;TEXT(AG22,"g/標準")&amp;AH22</f>
        <v>#VALUE!</v>
      </c>
      <c r="L113" s="3"/>
      <c r="M113" s="3"/>
      <c r="N113" s="3"/>
    </row>
    <row r="114" spans="1:14" x14ac:dyDescent="0.2">
      <c r="A114" s="2"/>
      <c r="B114" s="193"/>
      <c r="C114" s="203" t="s">
        <v>31</v>
      </c>
      <c r="D114" s="204" t="s">
        <v>82</v>
      </c>
      <c r="E114" s="204" t="s">
        <v>82</v>
      </c>
      <c r="F114" s="205" t="s">
        <v>82</v>
      </c>
      <c r="G114" s="204" t="s">
        <v>82</v>
      </c>
      <c r="H114" s="205" t="s">
        <v>82</v>
      </c>
      <c r="I114" s="204" t="s">
        <v>82</v>
      </c>
      <c r="J114" s="206" t="s">
        <v>83</v>
      </c>
      <c r="K114" s="207"/>
      <c r="L114" s="3"/>
      <c r="M114" s="3"/>
      <c r="N114" s="3"/>
    </row>
    <row r="115" spans="1:14" x14ac:dyDescent="0.2">
      <c r="A115" s="2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3"/>
      <c r="M115" s="3"/>
      <c r="N115" s="3"/>
    </row>
    <row r="117" spans="1:14" x14ac:dyDescent="0.2">
      <c r="A117" s="137"/>
    </row>
    <row r="118" spans="1:14" x14ac:dyDescent="0.2">
      <c r="A118" s="137"/>
    </row>
    <row r="119" spans="1:14" x14ac:dyDescent="0.2">
      <c r="A119" s="208"/>
    </row>
    <row r="120" spans="1:14" x14ac:dyDescent="0.2">
      <c r="A120" s="137"/>
    </row>
  </sheetData>
  <mergeCells count="7">
    <mergeCell ref="AK12:AK13"/>
    <mergeCell ref="AA31:AJ31"/>
    <mergeCell ref="A5:E5"/>
    <mergeCell ref="A6:E6"/>
    <mergeCell ref="AB7:AI7"/>
    <mergeCell ref="AE12:AE13"/>
    <mergeCell ref="AG12:AI12"/>
  </mergeCells>
  <phoneticPr fontId="3"/>
  <conditionalFormatting sqref="AA1:AB1048576 AJ1:AJ1048576 AC1:AI6 AC8:AI1048576">
    <cfRule type="expression" dxfId="10" priority="11" stopIfTrue="1">
      <formula>$A$2="出力なし"</formula>
    </cfRule>
  </conditionalFormatting>
  <conditionalFormatting sqref="AG12:AI12">
    <cfRule type="expression" dxfId="9" priority="10" stopIfTrue="1">
      <formula>NOT(AG12="1個当たり")</formula>
    </cfRule>
  </conditionalFormatting>
  <conditionalFormatting sqref="AA31:AJ31">
    <cfRule type="expression" dxfId="8" priority="9" stopIfTrue="1">
      <formula>NOT(AA31="この表示値は、目安です。")</formula>
    </cfRule>
  </conditionalFormatting>
  <conditionalFormatting sqref="AG29">
    <cfRule type="expression" dxfId="7" priority="8" stopIfTrue="1">
      <formula>IF(AND(COUNTIF($A$6,"&lt;&gt;*様*"),$AE$29&lt;5),TRUE,FALSE)</formula>
    </cfRule>
  </conditionalFormatting>
  <conditionalFormatting sqref="AG28">
    <cfRule type="expression" dxfId="6" priority="7" stopIfTrue="1">
      <formula>IF(AND(COUNTIF($A$6,"&lt;&gt;*様*"),$AG$13&lt;100,$AE$28&lt;0.3),TRUE,FALSE)</formula>
    </cfRule>
  </conditionalFormatting>
  <conditionalFormatting sqref="AE25">
    <cfRule type="expression" dxfId="5" priority="6" stopIfTrue="1">
      <formula>IF($A$4="蒸し物",IF($AE$25&lt;30,TRUE,FALSE),FALSE)</formula>
    </cfRule>
  </conditionalFormatting>
  <conditionalFormatting sqref="Z27">
    <cfRule type="expression" dxfId="4" priority="5" stopIfTrue="1">
      <formula>COUNTIF($Z$27,"*1")</formula>
    </cfRule>
  </conditionalFormatting>
  <conditionalFormatting sqref="Z28">
    <cfRule type="expression" dxfId="3" priority="4" stopIfTrue="1">
      <formula>COUNTIF($Z$28,"*2")</formula>
    </cfRule>
  </conditionalFormatting>
  <conditionalFormatting sqref="AG12:AI12">
    <cfRule type="expression" dxfId="2" priority="3" stopIfTrue="1">
      <formula>NOT(AG12="1個当たり")</formula>
    </cfRule>
  </conditionalFormatting>
  <conditionalFormatting sqref="AA31:AJ31">
    <cfRule type="expression" dxfId="1" priority="2" stopIfTrue="1">
      <formula>$A$2="出力なし"</formula>
    </cfRule>
  </conditionalFormatting>
  <conditionalFormatting sqref="AA31:AJ31">
    <cfRule type="expression" dxfId="0" priority="1" stopIfTrue="1">
      <formula>NOT(AA31="この表示値は、目安です。")</formula>
    </cfRule>
  </conditionalFormatting>
  <dataValidations count="3">
    <dataValidation type="list" allowBlank="1" showInputMessage="1" showErrorMessage="1" sqref="AA31:AJ31">
      <formula1>$AA$65:$AA$66</formula1>
    </dataValidation>
    <dataValidation type="list" allowBlank="1" showInputMessage="1" showErrorMessage="1" sqref="A4">
      <formula1>"その他,蒸し物"</formula1>
    </dataValidation>
    <dataValidation type="list" allowBlank="1" showInputMessage="1" showErrorMessage="1" sqref="A2">
      <formula1>"出力用,出力なし"</formula1>
    </dataValidation>
  </dataValidations>
  <printOptions gridLinesSet="0"/>
  <pageMargins left="0.5" right="0.39370078740157483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食物繊維＋ｴﾘｽﾘﾄｰﾙ＋その他</vt:lpstr>
      <vt:lpstr>'食物繊維＋ｴﾘｽﾘﾄｰﾙ＋その他'!Print_Area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金田　有生</dc:creator>
  <cp:lastModifiedBy>上小牧　美咲</cp:lastModifiedBy>
  <dcterms:created xsi:type="dcterms:W3CDTF">2022-10-20T01:30:09Z</dcterms:created>
  <dcterms:modified xsi:type="dcterms:W3CDTF">2026-03-12T01:32:52Z</dcterms:modified>
</cp:coreProperties>
</file>