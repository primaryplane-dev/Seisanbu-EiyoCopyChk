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<sst xmlns="http://schemas.openxmlformats.org/spreadsheetml/2006/main" count="163" uniqueCount="99">
  <si>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</si>
  <si>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</si>
  <si>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</si>
  <si>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</si>
  <si>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</si>
  <si>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</si>
  <si>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</si>
  <si>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</si>
  <si>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</si>
  <si>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</si>
  <si>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</si>
  <si>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</si>
  <si>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</si>
  <si>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</si>
  <si>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</si>
  <si>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</si>
  <si>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</si>
  <si>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</si>
  <si>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</si>
  <si>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</si>
  <si>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</si>
  <si>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</si>
  <si>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</si>
  <si>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</si>
  <si>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</si>
  <si>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</si>
  <si>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</si>
  <si>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</si>
  <si>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</si>
  <si>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</si>
  <si>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</si>
  <si>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</si>
  <si>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</si>
  <si>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</si>
  <si>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</si>
  <si>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</si>
  <si>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</si>
  <si>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</si>
  <si>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</si>
  <si>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</si>
  <si>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</si>
  <si>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</si>
  <si>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</si>
  <si>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</si>
  <si>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</si>
  <si>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</si>
  <si>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</si>
  <si>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</si>
  <si>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</si>
  <si>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</si>
  <si>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</si>
  <si>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</si>
  <si>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</si>
  <si>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</si>
  <si>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</si>
  <si>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</si>
  <si>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</si>
  <si>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</si>
  <si>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</si>
  <si>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</si>
  <si>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</si>
  <si>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</si>
  <si>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</si>
  <si>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</si>
  <si>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</si>
  <si>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</si>
  <si>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</si>
  <si>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</si>
  <si>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</si>
  <si>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</si>
  <si>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</si>
  <si>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</si>
  <si>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</si>
  <si>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</si>
  <si>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</si>
  <si>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</si>
  <si>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</si>
  <si>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</si>
  <si>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</si>
  <si>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</si>
  <si>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</si>
  <si>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</si>
  <si>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</si>
  <si>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</si>
  <si>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</si>
  <si>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</si>
  <si>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</si>
  <si>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</si>
  <si>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</si>
  <si>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</si>
  <si>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</si>
  <si>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</si>
  <si>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</si>
  <si>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</si>
  <si>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＊上記の内容は社外秘のため。転載・外部へのご提出の際は事前に表示課までご連絡下さい。</t>
    <rPh sb="1" eb="3">
      <t>ジョウキ</t>
    </rPh>
    <rPh sb="7" eb="10">
      <t>シャガイヒ</t>
    </rPh>
    <rPh sb="17" eb="19">
      <t>ガイブ</t>
    </rPh>
    <rPh sb="22" eb="24">
      <t>テイシュツ</t>
    </rPh>
    <rPh sb="25" eb="26">
      <t>サイ</t>
    </rPh>
    <phoneticPr fontId="16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</si>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</sst>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1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23" fillId="0" borderId="0" xfId="4" applyFont="1" applyBorder="1" applyAlignment="1"/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390525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19050</xdr:rowOff>
        </xdr:from>
        <xdr:to>
          <xdr:col>38</xdr:col>
          <xdr:colOff>342900</xdr:colOff>
          <xdr:row>12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86</xdr:row>
          <xdr:rowOff>133350</xdr:rowOff>
        </xdr:from>
        <xdr:to>
          <xdr:col>18</xdr:col>
          <xdr:colOff>9525</xdr:colOff>
          <xdr:row>87</xdr:row>
          <xdr:rowOff>161925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133350</xdr:rowOff>
        </xdr:from>
        <xdr:to>
          <xdr:col>26</xdr:col>
          <xdr:colOff>104775</xdr:colOff>
          <xdr:row>87</xdr:row>
          <xdr:rowOff>171450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103</xdr:row>
          <xdr:rowOff>152400</xdr:rowOff>
        </xdr:from>
        <xdr:to>
          <xdr:col>18</xdr:col>
          <xdr:colOff>9525</xdr:colOff>
          <xdr:row>104</xdr:row>
          <xdr:rowOff>171450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103</xdr:row>
          <xdr:rowOff>152400</xdr:rowOff>
        </xdr:from>
        <xdr:to>
          <xdr:col>26</xdr:col>
          <xdr:colOff>104775</xdr:colOff>
          <xdr:row>104</xdr:row>
          <xdr:rowOff>171450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819150</xdr:colOff>
          <xdr:row>4</xdr:row>
          <xdr:rowOff>57150</xdr:rowOff>
        </xdr:from>
        <xdr:to>
          <xdr:col>43</xdr:col>
          <xdr:colOff>638175</xdr:colOff>
          <xdr:row>6</xdr:row>
          <xdr:rowOff>0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8"/>
  <dimension ref="A1:AQ120"/>
  <sheetViews>
    <sheetView showGridLines="0" tabSelected="1" topLeftCell="A70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1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2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3"/>
      <c r="H4" s="184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89" t="s">
        <v>1</v>
      </c>
      <c r="B5" s="190"/>
      <c r="C5" s="190"/>
      <c r="D5" s="190"/>
      <c r="E5" s="191"/>
      <c r="F5" s="125" t="s">
        <v>66</v>
      </c>
      <c r="G5" s="125" t="s">
        <v>67</v>
      </c>
      <c r="H5" s="125" t="s">
        <v>68</v>
      </c>
      <c r="I5" s="162" t="s">
        <v>95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年月日</v>
      </c>
      <c r="AJ5" s="34"/>
      <c r="AM5" s="75"/>
      <c r="AN5" s="75"/>
      <c r="AO5" s="75"/>
      <c r="AP5" s="75"/>
      <c r="AQ5" s="75"/>
    </row>
    <row r="6" spans="1:43" ht="21" x14ac:dyDescent="0.2">
      <c r="A6" s="192"/>
      <c r="B6" s="193"/>
      <c r="C6" s="193"/>
      <c r="D6" s="193"/>
      <c r="E6" s="194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199" t="e">
        <f>IF(COUNTIF($F$6,"1"),CONCATENATE($A$6,"(",$H$6,")"),CONCATENATE($A$6,$F$6,$G$6,"入","(",$H$6,")"))</f>
        <v>#VALUE!</v>
      </c>
      <c r="AC7" s="199"/>
      <c r="AD7" s="199"/>
      <c r="AE7" s="199"/>
      <c r="AF7" s="199"/>
      <c r="AG7" s="199"/>
      <c r="AH7" s="199"/>
      <c r="AI7" s="199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195" t="s">
        <v>59</v>
      </c>
      <c r="AF12" s="91"/>
      <c r="AG12" s="198" t="str">
        <f>"1"&amp;$G$6&amp;"当たり"</f>
        <v>1個当たり</v>
      </c>
      <c r="AH12" s="198"/>
      <c r="AI12" s="198"/>
      <c r="AJ12" s="33"/>
      <c r="AK12" s="188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196"/>
      <c r="AF13" s="37"/>
      <c r="AG13" s="39">
        <f>ROUND(+$B$102,0)</f>
        <v>100</v>
      </c>
      <c r="AH13" s="40" t="s">
        <v>33</v>
      </c>
      <c r="AI13" s="39"/>
      <c r="AJ13" s="41"/>
      <c r="AK13" s="188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85"/>
      <c r="AO14" s="185"/>
      <c r="AP14" s="185"/>
      <c r="AQ14" s="186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 t="e">
        <f>$D$104</f>
        <v>#DIV/0!</v>
      </c>
      <c r="AF15" s="45"/>
      <c r="AG15" s="47" t="e">
        <f>ROUND(($AG$13*AE15)/100,1)</f>
        <v>#DIV/0!</v>
      </c>
      <c r="AH15" s="43" t="s">
        <v>60</v>
      </c>
      <c r="AI15" s="47"/>
      <c r="AJ15" s="46"/>
      <c r="AK15" s="104">
        <v>1</v>
      </c>
      <c r="AM15" s="200" t="s">
        <v>75</v>
      </c>
      <c r="AN15" s="201"/>
      <c r="AO15" s="201"/>
      <c r="AP15" s="201"/>
      <c r="AQ15" s="202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 t="e">
        <f>$E$104</f>
        <v>#DIV/0!</v>
      </c>
      <c r="AF16" s="45"/>
      <c r="AG16" s="47" t="e">
        <f>ROUND(($AG$13*AE16)/100,1)</f>
        <v>#DIV/0!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 t="e">
        <f>IF($AE$20&lt;4.5,0,ROUND($AE$20/1000*2.54,2))</f>
        <v>#DIV/0!</v>
      </c>
      <c r="AF18" s="45"/>
      <c r="AG18" s="139" t="e">
        <f>IF($AE$20&lt;4.5,0,ROUND($AG$20/1000*2.54,2))</f>
        <v>#DIV/0!</v>
      </c>
      <c r="AH18" s="43" t="s">
        <v>60</v>
      </c>
      <c r="AI18" s="48"/>
      <c r="AJ18" s="46"/>
      <c r="AK18" s="104" t="e">
        <f>IF($AE$20&lt;4.5,0,2)</f>
        <v>#DIV/0!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 t="e">
        <f>$G$104</f>
        <v>#DIV/0!</v>
      </c>
      <c r="AP19" s="168" t="e">
        <f>ROUND(($AG$13*$G$104)/100,1)</f>
        <v>#DIV/0!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 t="e">
        <f>$I$104</f>
        <v>#DIV/0!</v>
      </c>
      <c r="AF20" s="45"/>
      <c r="AG20" s="103" t="e">
        <f>ROUND(($AG$13*$AE$20)/100,0)</f>
        <v>#DIV/0!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 t="e">
        <f>$C$104</f>
        <v>#DIV/0!</v>
      </c>
      <c r="AF21" s="52"/>
      <c r="AG21" s="51" t="e">
        <f>ROUND(($AG$13*$AE$21)/100,1)</f>
        <v>#DIV/0!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 t="e">
        <f>$H$104</f>
        <v>#DIV/0!</v>
      </c>
      <c r="AF22" s="52"/>
      <c r="AG22" s="51" t="e">
        <f>ROUND(($AG$13*$AE$22)/100,1)</f>
        <v>#DIV/0!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e">
        <f>IF(AG23&lt;15,"","＊1")</f>
        <v>#DIV/0!</v>
      </c>
      <c r="AA23" s="71" t="s">
        <v>34</v>
      </c>
      <c r="AB23" s="43"/>
      <c r="AC23" s="43"/>
      <c r="AD23" s="43"/>
      <c r="AE23" s="139" t="e">
        <f>$K$104</f>
        <v>#DIV/0!</v>
      </c>
      <c r="AF23" s="72"/>
      <c r="AG23" s="139" t="e">
        <f>ROUND(($AG$13*$AE$23)/100,2)</f>
        <v>#DIV/0!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e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>#DIV/0!</v>
      </c>
      <c r="AA24" s="71" t="s">
        <v>41</v>
      </c>
      <c r="AB24" s="43"/>
      <c r="AC24" s="43"/>
      <c r="AD24" s="43"/>
      <c r="AE24" s="139" t="e">
        <f>$J$104</f>
        <v>#DIV/0!</v>
      </c>
      <c r="AF24" s="69"/>
      <c r="AG24" s="139" t="e">
        <f>ROUND(($AG$13*$AE$24)/100,2)</f>
        <v>#DIV/0!</v>
      </c>
      <c r="AH24" s="43" t="s">
        <v>60</v>
      </c>
      <c r="AI24" s="48"/>
      <c r="AJ24" s="46"/>
      <c r="AK24" s="104" t="e">
        <f>IF($AE$24=0,0,2)</f>
        <v>#DIV/0!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 t="e">
        <f>$L$104</f>
        <v>#DIV/0!</v>
      </c>
      <c r="AF25" s="69"/>
      <c r="AG25" s="93" t="e">
        <f>ROUND(($AG$13*$AE$25)/100,0)</f>
        <v>#DIV/0!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197" t="s">
        <v>53</v>
      </c>
      <c r="AB31" s="197"/>
      <c r="AC31" s="197"/>
      <c r="AD31" s="197"/>
      <c r="AE31" s="197"/>
      <c r="AF31" s="197"/>
      <c r="AG31" s="197"/>
      <c r="AH31" s="197"/>
      <c r="AI31" s="197"/>
      <c r="AJ31" s="197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3"/>
      <c r="AD32" s="203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3"/>
      <c r="AD33" s="203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3"/>
      <c r="AD34" s="203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87" t="s">
        <v>44</v>
      </c>
      <c r="AD35" s="187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0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3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176" t="s">
        <v>94</v>
      </c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74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4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AA53" s="88"/>
    </row>
    <row r="54" spans="1:33" x14ac:dyDescent="0.2">
      <c r="A54" s="118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6">
        <f t="shared" ref="L54:L82" si="13">L9*B54/100</f>
        <v>0</v>
      </c>
      <c r="AA54" s="88"/>
    </row>
    <row r="55" spans="1:33" x14ac:dyDescent="0.2">
      <c r="A55" s="118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6">
        <f t="shared" si="13"/>
        <v>0</v>
      </c>
    </row>
    <row r="56" spans="1:33" x14ac:dyDescent="0.2">
      <c r="A56" s="118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6">
        <f t="shared" si="13"/>
        <v>0</v>
      </c>
    </row>
    <row r="57" spans="1:33" x14ac:dyDescent="0.2">
      <c r="A57" s="118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6">
        <f t="shared" si="13"/>
        <v>0</v>
      </c>
    </row>
    <row r="58" spans="1:33" x14ac:dyDescent="0.2">
      <c r="A58" s="118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</row>
    <row r="59" spans="1:33" x14ac:dyDescent="0.2">
      <c r="A59" s="118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</row>
    <row r="60" spans="1:33" x14ac:dyDescent="0.2">
      <c r="A60" s="118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6">
        <f t="shared" si="13"/>
        <v>0</v>
      </c>
      <c r="AA60" s="87" t="s">
        <v>42</v>
      </c>
    </row>
    <row r="61" spans="1:33" x14ac:dyDescent="0.2">
      <c r="A61" s="118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AA61" s="123" t="s">
        <v>53</v>
      </c>
    </row>
    <row r="62" spans="1:33" ht="18.75" x14ac:dyDescent="0.3">
      <c r="A62" s="118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6">
        <f t="shared" si="13"/>
        <v>0</v>
      </c>
    </row>
    <row r="64" spans="1:33" x14ac:dyDescent="0.2">
      <c r="A64" s="118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</row>
    <row r="65" spans="1:27" x14ac:dyDescent="0.2">
      <c r="A65" s="118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</row>
    <row r="66" spans="1:27" x14ac:dyDescent="0.2">
      <c r="A66" s="118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</row>
    <row r="67" spans="1:27" x14ac:dyDescent="0.2">
      <c r="A67" s="118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</row>
    <row r="68" spans="1:27" x14ac:dyDescent="0.2">
      <c r="A68" s="118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</row>
    <row r="69" spans="1:27" ht="18.75" x14ac:dyDescent="0.3">
      <c r="A69" s="118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AA69" s="89" t="s">
        <v>43</v>
      </c>
    </row>
    <row r="70" spans="1:27" x14ac:dyDescent="0.2">
      <c r="A70" s="118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AA70" s="92" t="s">
        <v>62</v>
      </c>
    </row>
    <row r="71" spans="1:27" x14ac:dyDescent="0.2">
      <c r="A71" s="118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AA71" s="92" t="s">
        <v>55</v>
      </c>
    </row>
    <row r="72" spans="1:27" x14ac:dyDescent="0.2">
      <c r="A72" s="118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AA72" s="92" t="s">
        <v>56</v>
      </c>
    </row>
    <row r="73" spans="1:27" x14ac:dyDescent="0.2">
      <c r="A73" s="118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AA73" s="92" t="s">
        <v>57</v>
      </c>
    </row>
    <row r="74" spans="1:27" x14ac:dyDescent="0.2">
      <c r="A74" s="118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AA74" s="92" t="s">
        <v>58</v>
      </c>
    </row>
    <row r="75" spans="1:27" x14ac:dyDescent="0.2">
      <c r="A75" s="118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AA75" s="83" t="s">
        <v>83</v>
      </c>
    </row>
    <row r="76" spans="1:27" x14ac:dyDescent="0.2">
      <c r="A76" s="118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</row>
    <row r="77" spans="1:27" x14ac:dyDescent="0.2">
      <c r="A77" s="118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</row>
    <row r="78" spans="1:27" x14ac:dyDescent="0.2">
      <c r="A78" s="118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</row>
    <row r="79" spans="1:27" x14ac:dyDescent="0.2">
      <c r="A79" s="118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</row>
    <row r="80" spans="1:27" x14ac:dyDescent="0.2">
      <c r="A80" s="118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</row>
    <row r="81" spans="1:12" x14ac:dyDescent="0.2">
      <c r="A81" s="118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</row>
    <row r="82" spans="1:12" x14ac:dyDescent="0.2">
      <c r="A82" s="118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4">
        <f t="shared" si="43"/>
        <v>0</v>
      </c>
      <c r="K85" s="54">
        <f t="shared" si="43"/>
        <v>0</v>
      </c>
      <c r="L85" s="66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204" t="e">
        <v>#DIV/0!</v>
      </c>
      <c r="D87" s="204" t="e">
        <v>#DIV/0!</v>
      </c>
      <c r="E87" s="204" t="e">
        <v>#DIV/0!</v>
      </c>
      <c r="F87" s="14" t="e">
        <f>F86+100-B86</f>
        <v>#DIV/0!</v>
      </c>
      <c r="G87" s="204" t="e">
        <v>#DIV/0!</v>
      </c>
      <c r="H87" s="204" t="e">
        <v>#DIV/0!</v>
      </c>
      <c r="I87" s="204" t="e">
        <v>#DIV/0!</v>
      </c>
      <c r="J87" s="205" t="e">
        <v>#DIV/0!</v>
      </c>
      <c r="K87" s="205" t="e">
        <v>#DIV/0!</v>
      </c>
      <c r="L87" s="206" t="e">
        <v>#DIV/0!</v>
      </c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5"/>
      <c r="K88" s="4"/>
      <c r="L88" s="101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2">
        <f>B40*(100-B84)/100</f>
        <v>100</v>
      </c>
      <c r="C90" s="10" t="e">
        <f>C87/100*B90</f>
        <v>#DIV/0!</v>
      </c>
      <c r="D90" s="10" t="e">
        <f>D87/100*B90</f>
        <v>#DIV/0!</v>
      </c>
      <c r="E90" s="10" t="e">
        <f>E87/100*B90</f>
        <v>#DIV/0!</v>
      </c>
      <c r="F90" s="10" t="e">
        <f>F87/100*B90</f>
        <v>#DIV/0!</v>
      </c>
      <c r="G90" s="10" t="e">
        <f>G87/100*B90</f>
        <v>#DIV/0!</v>
      </c>
      <c r="H90" s="10" t="e">
        <f>H87/100*B90</f>
        <v>#DIV/0!</v>
      </c>
      <c r="I90" s="11" t="e">
        <f>I87/100*B90</f>
        <v>#DIV/0!</v>
      </c>
      <c r="J90" s="53" t="e">
        <f>J87/100*B90</f>
        <v>#DIV/0!</v>
      </c>
      <c r="K90" s="53" t="e">
        <f>K87/100*B90</f>
        <v>#DIV/0!</v>
      </c>
      <c r="L90" s="67" t="e">
        <f>L87/100*B90</f>
        <v>#DIV/0!</v>
      </c>
    </row>
    <row r="91" spans="1:12" x14ac:dyDescent="0.2">
      <c r="A91" s="118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3">
        <f t="shared" ref="J91:J99" si="51">J41/100*B91</f>
        <v>0</v>
      </c>
      <c r="K91" s="53">
        <f t="shared" ref="K91:K99" si="52">K41/100*B91</f>
        <v>0</v>
      </c>
      <c r="L91" s="53">
        <f t="shared" ref="L91:L99" si="53">L41/100*B91</f>
        <v>0</v>
      </c>
    </row>
    <row r="92" spans="1:12" x14ac:dyDescent="0.2">
      <c r="A92" s="118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3">
        <f t="shared" si="51"/>
        <v>0</v>
      </c>
      <c r="K92" s="53">
        <f t="shared" si="52"/>
        <v>0</v>
      </c>
      <c r="L92" s="53">
        <f t="shared" si="53"/>
        <v>0</v>
      </c>
    </row>
    <row r="93" spans="1:12" x14ac:dyDescent="0.2">
      <c r="A93" s="118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3">
        <f t="shared" si="51"/>
        <v>0</v>
      </c>
      <c r="K93" s="53">
        <f t="shared" si="52"/>
        <v>0</v>
      </c>
      <c r="L93" s="53">
        <f t="shared" si="53"/>
        <v>0</v>
      </c>
    </row>
    <row r="94" spans="1:12" x14ac:dyDescent="0.2">
      <c r="A94" s="118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3">
        <f t="shared" si="51"/>
        <v>0</v>
      </c>
      <c r="K94" s="53">
        <f t="shared" si="52"/>
        <v>0</v>
      </c>
      <c r="L94" s="53">
        <f t="shared" si="53"/>
        <v>0</v>
      </c>
    </row>
    <row r="95" spans="1:12" x14ac:dyDescent="0.2">
      <c r="A95" s="118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3">
        <f t="shared" si="51"/>
        <v>0</v>
      </c>
      <c r="K95" s="53">
        <f t="shared" si="52"/>
        <v>0</v>
      </c>
      <c r="L95" s="53">
        <f t="shared" si="53"/>
        <v>0</v>
      </c>
    </row>
    <row r="96" spans="1:12" x14ac:dyDescent="0.2">
      <c r="A96" s="118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3">
        <f t="shared" si="51"/>
        <v>0</v>
      </c>
      <c r="K96" s="53">
        <f t="shared" si="52"/>
        <v>0</v>
      </c>
      <c r="L96" s="53">
        <f t="shared" si="53"/>
        <v>0</v>
      </c>
    </row>
    <row r="97" spans="1:12" x14ac:dyDescent="0.2">
      <c r="A97" s="118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3">
        <f t="shared" si="51"/>
        <v>0</v>
      </c>
      <c r="K97" s="53">
        <f t="shared" si="52"/>
        <v>0</v>
      </c>
      <c r="L97" s="53">
        <f t="shared" si="53"/>
        <v>0</v>
      </c>
    </row>
    <row r="98" spans="1:12" x14ac:dyDescent="0.2">
      <c r="A98" s="118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3">
        <f t="shared" si="51"/>
        <v>0</v>
      </c>
      <c r="K98" s="53">
        <f t="shared" si="52"/>
        <v>0</v>
      </c>
      <c r="L98" s="53">
        <f t="shared" si="53"/>
        <v>0</v>
      </c>
    </row>
    <row r="99" spans="1:12" x14ac:dyDescent="0.2">
      <c r="A99" s="118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3">
        <f t="shared" si="51"/>
        <v>0</v>
      </c>
      <c r="K99" s="53">
        <f t="shared" si="52"/>
        <v>0</v>
      </c>
      <c r="L99" s="53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 t="e">
        <f t="shared" si="62"/>
        <v>#DIV/0!</v>
      </c>
      <c r="D100" s="10" t="e">
        <f t="shared" si="62"/>
        <v>#DIV/0!</v>
      </c>
      <c r="E100" s="10" t="e">
        <f t="shared" si="62"/>
        <v>#DIV/0!</v>
      </c>
      <c r="F100" s="10" t="e">
        <f t="shared" si="62"/>
        <v>#DIV/0!</v>
      </c>
      <c r="G100" s="10" t="e">
        <f t="shared" si="62"/>
        <v>#DIV/0!</v>
      </c>
      <c r="H100" s="10" t="e">
        <f t="shared" si="62"/>
        <v>#DIV/0!</v>
      </c>
      <c r="I100" s="11" t="e">
        <f t="shared" si="62"/>
        <v>#DIV/0!</v>
      </c>
      <c r="J100" s="11" t="e">
        <f t="shared" si="62"/>
        <v>#DIV/0!</v>
      </c>
      <c r="K100" s="11" t="e">
        <f t="shared" si="62"/>
        <v>#DIV/0!</v>
      </c>
      <c r="L100" s="11" t="e">
        <f t="shared" si="62"/>
        <v>#DIV/0!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 t="e">
        <f>C100-B100*B101/100</f>
        <v>#DIV/0!</v>
      </c>
      <c r="D102" s="10" t="e">
        <f t="shared" ref="D102:L102" si="63">SUM(D90:D99)</f>
        <v>#DIV/0!</v>
      </c>
      <c r="E102" s="10" t="e">
        <f t="shared" si="63"/>
        <v>#DIV/0!</v>
      </c>
      <c r="F102" s="10" t="e">
        <f t="shared" si="63"/>
        <v>#DIV/0!</v>
      </c>
      <c r="G102" s="10" t="e">
        <f t="shared" si="63"/>
        <v>#DIV/0!</v>
      </c>
      <c r="H102" s="10" t="e">
        <f t="shared" si="63"/>
        <v>#DIV/0!</v>
      </c>
      <c r="I102" s="11" t="e">
        <f t="shared" si="63"/>
        <v>#DIV/0!</v>
      </c>
      <c r="J102" s="56" t="e">
        <f t="shared" si="63"/>
        <v>#DIV/0!</v>
      </c>
      <c r="K102" s="56" t="e">
        <f t="shared" si="63"/>
        <v>#DIV/0!</v>
      </c>
      <c r="L102" s="67" t="e">
        <f t="shared" si="63"/>
        <v>#DIV/0!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 t="e">
        <f>ROUND(+C102/B102*100,1)</f>
        <v>#DIV/0!</v>
      </c>
      <c r="D103" s="17" t="e">
        <f>ROUND(+D102/B102*100,1)</f>
        <v>#DIV/0!</v>
      </c>
      <c r="E103" s="17" t="e">
        <f>ROUND(+E102/B102*100,1)</f>
        <v>#DIV/0!</v>
      </c>
      <c r="F103" s="17" t="e">
        <f>ROUND(+F102/B102*100,1)</f>
        <v>#DIV/0!</v>
      </c>
      <c r="G103" s="17" t="e">
        <f>ROUND(+G102/B102*100,1)</f>
        <v>#DIV/0!</v>
      </c>
      <c r="H103" s="17" t="e">
        <f>ROUND(+H102/B102*100,1)</f>
        <v>#DIV/0!</v>
      </c>
      <c r="I103" s="95" t="e">
        <f>ROUND(+I102/B102*100,0)</f>
        <v>#DIV/0!</v>
      </c>
      <c r="J103" s="96" t="e">
        <f>ROUND(+J102/B102*100,2)</f>
        <v>#DIV/0!</v>
      </c>
      <c r="K103" s="96" t="e">
        <f>ROUND(+K102/B102*100,2)</f>
        <v>#DIV/0!</v>
      </c>
      <c r="L103" s="94" t="e">
        <f>ROUND(+L102/B102*100,0)</f>
        <v>#DIV/0!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207" t="e">
        <v>#DIV/0!</v>
      </c>
      <c r="D104" s="207" t="e">
        <v>#DIV/0!</v>
      </c>
      <c r="E104" s="207" t="e">
        <v>#DIV/0!</v>
      </c>
      <c r="F104" s="31" t="e">
        <f>F103+100-B103</f>
        <v>#DIV/0!</v>
      </c>
      <c r="G104" s="208" t="e">
        <v>#DIV/0!</v>
      </c>
      <c r="H104" s="208" t="e">
        <v>#DIV/0!</v>
      </c>
      <c r="I104" s="209" t="e">
        <v>#DIV/0!</v>
      </c>
      <c r="J104" s="210" t="e">
        <v>#DIV/0!</v>
      </c>
      <c r="K104" s="210" t="e">
        <v>#DIV/0!</v>
      </c>
      <c r="L104" s="209" t="e">
        <v>#DIV/0!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177" t="s">
        <v>96</v>
      </c>
      <c r="I106" s="178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79" t="s">
        <v>97</v>
      </c>
      <c r="I107" s="180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181" t="s">
        <v>98</v>
      </c>
      <c r="I108" s="182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 t="e">
        <f>AG15</f>
        <v>#DIV/0!</v>
      </c>
      <c r="E113" s="109" t="e">
        <f>AG16</f>
        <v>#DIV/0!</v>
      </c>
      <c r="F113" s="110" t="e">
        <f>AG17</f>
        <v>#DIV/0!</v>
      </c>
      <c r="G113" s="111" t="e">
        <f>AG18</f>
        <v>#DIV/0!</v>
      </c>
      <c r="H113" s="112" t="e">
        <f>AG23</f>
        <v>#DIV/0!</v>
      </c>
      <c r="I113" s="111" t="e">
        <f>IF(AG13&gt;=100,AG24,IF(AE24&lt;0.3,0,AG24))</f>
        <v>#DIV/0!</v>
      </c>
      <c r="J113" s="113" t="e">
        <f>IF(AE25&lt;5,0,AG25)</f>
        <v>#DIV/0!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2:AC34 AE32:AJ34 AA45:AJ1048576 AB43:AJ44 AA35:AJ42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r:id="rId5">
            <anchor moveWithCells="1">
              <from>
                <xdr:col>24</xdr:col>
                <xdr:colOff>0</xdr:colOff>
                <xdr:row>103</xdr:row>
                <xdr:rowOff>152400</xdr:rowOff>
              </from>
              <to>
                <xdr:col>26</xdr:col>
                <xdr:colOff>104775</xdr:colOff>
                <xdr:row>104</xdr:row>
                <xdr:rowOff>171450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r:id="rId7">
            <anchor moveWithCells="1">
              <from>
                <xdr:col>13</xdr:col>
                <xdr:colOff>19050</xdr:colOff>
                <xdr:row>103</xdr:row>
                <xdr:rowOff>152400</xdr:rowOff>
              </from>
              <to>
                <xdr:col>18</xdr:col>
                <xdr:colOff>9525</xdr:colOff>
                <xdr:row>104</xdr:row>
                <xdr:rowOff>171450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r:id="rId9">
            <anchor moveWithCells="1">
              <from>
                <xdr:col>24</xdr:col>
                <xdr:colOff>0</xdr:colOff>
                <xdr:row>86</xdr:row>
                <xdr:rowOff>133350</xdr:rowOff>
              </from>
              <to>
                <xdr:col>26</xdr:col>
                <xdr:colOff>104775</xdr:colOff>
                <xdr:row>87</xdr:row>
                <xdr:rowOff>171450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r:id="rId11">
            <anchor moveWithCells="1">
              <from>
                <xdr:col>13</xdr:col>
                <xdr:colOff>19050</xdr:colOff>
                <xdr:row>86</xdr:row>
                <xdr:rowOff>133350</xdr:rowOff>
              </from>
              <to>
                <xdr:col>18</xdr:col>
                <xdr:colOff>9525</xdr:colOff>
                <xdr:row>87</xdr:row>
                <xdr:rowOff>161925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31" r:id="rId12" name="cmdCopy">
          <controlPr defaultSize="0" autoLine="0" r:id="rId13">
            <anchor moveWithCells="1">
              <from>
                <xdr:col>41</xdr:col>
                <xdr:colOff>819150</xdr:colOff>
                <xdr:row>4</xdr:row>
                <xdr:rowOff>57150</xdr:rowOff>
              </from>
              <to>
                <xdr:col>43</xdr:col>
                <xdr:colOff>638175</xdr:colOff>
                <xdr:row>6</xdr:row>
                <xdr:rowOff>0</xdr:rowOff>
              </to>
            </anchor>
          </controlPr>
        </control>
      </mc:Choice>
      <mc:Fallback>
        <control shapeId="1031" r:id="rId12" name="cmdCopy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390525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19050</xdr:rowOff>
              </from>
              <to>
                <xdr:col>38</xdr:col>
                <xdr:colOff>342900</xdr:colOff>
                <xdr:row>12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2025-09-07T23:07:10Z</cp:lastPrinted>
  <dcterms:created xsi:type="dcterms:W3CDTF">1999-12-02T04:43:04Z</dcterms:created>
  <dcterms:modified xsi:type="dcterms:W3CDTF">2026-05-18T05:08:30Z</dcterms:modified>
</cp:coreProperties>
</file>