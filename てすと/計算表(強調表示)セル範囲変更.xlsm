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/>
  </bookViews>
  <sheets>
    <sheet name="5成分" sheetId="22" r:id="rId1"/>
    <sheet name="食物繊維入り" sheetId="15" r:id="rId2"/>
    <sheet name="ｶﾙｼｳﾑ入り" sheetId="16" r:id="rId3"/>
    <sheet name="ｶﾙｼｳﾑ+ﾋﾞﾀﾐﾝＤ入り" sheetId="19" r:id="rId4"/>
    <sheet name="ﾋﾞﾀﾐﾝB1" sheetId="23" r:id="rId5"/>
    <sheet name="鉄" sheetId="24" r:id="rId6"/>
    <sheet name="その他成分" sheetId="20" r:id="rId7"/>
    <sheet name="食物繊維+その他成分①" sheetId="25" r:id="rId8"/>
    <sheet name="食物繊維+その他成分②" sheetId="18" r:id="rId9"/>
    <sheet name="食物繊維+脂肪酸" sheetId="26" r:id="rId10"/>
    <sheet name="（例）ふわりｼﾌｫﾝいちご" sheetId="21" state="hidden" r:id="rId11"/>
  </sheets>
  <functionGroups builtInGroupCount="17"/>
  <definedNames>
    <definedName name="_xlnm.Print_Area" localSheetId="10">'（例）ふわりｼﾌｫﾝいちご'!$AA$2:$AJ$41</definedName>
    <definedName name="_xlnm.Print_Area" localSheetId="0">'5成分'!$AA$2:$AJ$41</definedName>
    <definedName name="_xlnm.Print_Area" localSheetId="3">'ｶﾙｼｳﾑ+ﾋﾞﾀﾐﾝＤ入り'!$AA$2:$AJ$43</definedName>
    <definedName name="_xlnm.Print_Area" localSheetId="2">ｶﾙｼｳﾑ入り!$AA$2:$AJ$43</definedName>
    <definedName name="_xlnm.Print_Area" localSheetId="6">その他成分!$AA$2:$AJ$43</definedName>
    <definedName name="_xlnm.Print_Area" localSheetId="4">ﾋﾞﾀﾐﾝB1!$AA$2:$AJ$43</definedName>
    <definedName name="_xlnm.Print_Area" localSheetId="7">'食物繊維+その他成分①'!$AA$2:$AJ$44</definedName>
    <definedName name="_xlnm.Print_Area" localSheetId="8">'食物繊維+その他成分②'!$AA$2:$AJ$44</definedName>
    <definedName name="_xlnm.Print_Area" localSheetId="9">'食物繊維+脂肪酸'!$AA$2:$AJ$41</definedName>
    <definedName name="_xlnm.Print_Area" localSheetId="1">食物繊維入り!$AA$2:$AJ$41</definedName>
    <definedName name="_xlnm.Print_Area" localSheetId="5">鉄!$AA$2:$AJ$43</definedName>
  </definedNames>
  <calcPr calcId="145621"/>
</workbook>
</file>

<file path=xl/calcChain.xml><?xml version="1.0" encoding="utf-8"?>
<calcChain xmlns="http://schemas.openxmlformats.org/spreadsheetml/2006/main">
  <c r="N82" i="22" l="1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K119" i="26" l="1"/>
  <c r="C118" i="26"/>
  <c r="C106" i="26"/>
  <c r="B99" i="26"/>
  <c r="A99" i="26"/>
  <c r="B98" i="26"/>
  <c r="H98" i="26" s="1"/>
  <c r="A98" i="26"/>
  <c r="I97" i="26"/>
  <c r="H97" i="26"/>
  <c r="B97" i="26"/>
  <c r="E97" i="26" s="1"/>
  <c r="A97" i="26"/>
  <c r="B96" i="26"/>
  <c r="F96" i="26" s="1"/>
  <c r="A96" i="26"/>
  <c r="B95" i="26"/>
  <c r="A95" i="26"/>
  <c r="I94" i="26"/>
  <c r="B94" i="26"/>
  <c r="H94" i="26" s="1"/>
  <c r="A94" i="26"/>
  <c r="I93" i="26"/>
  <c r="F93" i="26"/>
  <c r="E93" i="26"/>
  <c r="D93" i="26"/>
  <c r="C93" i="26"/>
  <c r="B93" i="26"/>
  <c r="H93" i="26" s="1"/>
  <c r="A93" i="26"/>
  <c r="B92" i="26"/>
  <c r="D92" i="26" s="1"/>
  <c r="A92" i="26"/>
  <c r="B91" i="26"/>
  <c r="A91" i="26"/>
  <c r="B90" i="26"/>
  <c r="D90" i="26" s="1"/>
  <c r="B82" i="26"/>
  <c r="K82" i="26" s="1"/>
  <c r="A82" i="26"/>
  <c r="B81" i="26"/>
  <c r="G81" i="26" s="1"/>
  <c r="A81" i="26"/>
  <c r="B80" i="26"/>
  <c r="C80" i="26" s="1"/>
  <c r="A80" i="26"/>
  <c r="L79" i="26"/>
  <c r="K79" i="26"/>
  <c r="G79" i="26"/>
  <c r="B79" i="26"/>
  <c r="A79" i="26"/>
  <c r="B78" i="26"/>
  <c r="L78" i="26" s="1"/>
  <c r="A78" i="26"/>
  <c r="B77" i="26"/>
  <c r="A77" i="26"/>
  <c r="B76" i="26"/>
  <c r="A76" i="26"/>
  <c r="B75" i="26"/>
  <c r="E75" i="26" s="1"/>
  <c r="A75" i="26"/>
  <c r="B74" i="26"/>
  <c r="F74" i="26" s="1"/>
  <c r="A74" i="26"/>
  <c r="B73" i="26"/>
  <c r="A73" i="26"/>
  <c r="B72" i="26"/>
  <c r="A72" i="26"/>
  <c r="B71" i="26"/>
  <c r="K71" i="26" s="1"/>
  <c r="A71" i="26"/>
  <c r="B70" i="26"/>
  <c r="K70" i="26" s="1"/>
  <c r="A70" i="26"/>
  <c r="B69" i="26"/>
  <c r="D69" i="26" s="1"/>
  <c r="A69" i="26"/>
  <c r="E68" i="26"/>
  <c r="B68" i="26"/>
  <c r="D68" i="26" s="1"/>
  <c r="A68" i="26"/>
  <c r="B67" i="26"/>
  <c r="A67" i="26"/>
  <c r="B66" i="26"/>
  <c r="L66" i="26" s="1"/>
  <c r="A66" i="26"/>
  <c r="B65" i="26"/>
  <c r="A65" i="26"/>
  <c r="B64" i="26"/>
  <c r="E64" i="26" s="1"/>
  <c r="A64" i="26"/>
  <c r="B63" i="26"/>
  <c r="A63" i="26"/>
  <c r="B62" i="26"/>
  <c r="G62" i="26" s="1"/>
  <c r="A62" i="26"/>
  <c r="B61" i="26"/>
  <c r="K61" i="26" s="1"/>
  <c r="A61" i="26"/>
  <c r="B60" i="26"/>
  <c r="A60" i="26"/>
  <c r="B59" i="26"/>
  <c r="L59" i="26" s="1"/>
  <c r="A59" i="26"/>
  <c r="B58" i="26"/>
  <c r="K58" i="26" s="1"/>
  <c r="A58" i="26"/>
  <c r="B57" i="26"/>
  <c r="F57" i="26" s="1"/>
  <c r="A57" i="26"/>
  <c r="B56" i="26"/>
  <c r="A56" i="26"/>
  <c r="B55" i="26"/>
  <c r="L55" i="26" s="1"/>
  <c r="A55" i="26"/>
  <c r="B54" i="26"/>
  <c r="L54" i="26" s="1"/>
  <c r="A54" i="26"/>
  <c r="B53" i="26"/>
  <c r="H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K62" i="26" l="1"/>
  <c r="L62" i="26"/>
  <c r="D78" i="26"/>
  <c r="G55" i="26"/>
  <c r="G57" i="26"/>
  <c r="D62" i="26"/>
  <c r="G74" i="26"/>
  <c r="E78" i="26"/>
  <c r="L82" i="26"/>
  <c r="K55" i="26"/>
  <c r="K57" i="26"/>
  <c r="E62" i="26"/>
  <c r="K74" i="26"/>
  <c r="F62" i="26"/>
  <c r="D66" i="26"/>
  <c r="C68" i="26"/>
  <c r="L74" i="26"/>
  <c r="G90" i="26"/>
  <c r="G93" i="26"/>
  <c r="F97" i="26"/>
  <c r="E66" i="26"/>
  <c r="L70" i="26"/>
  <c r="H90" i="26"/>
  <c r="G97" i="26"/>
  <c r="G54" i="26"/>
  <c r="D57" i="26"/>
  <c r="L58" i="26"/>
  <c r="F70" i="26"/>
  <c r="D74" i="26"/>
  <c r="F82" i="26"/>
  <c r="F92" i="26"/>
  <c r="F94" i="26"/>
  <c r="C97" i="26"/>
  <c r="I98" i="26"/>
  <c r="K53" i="26"/>
  <c r="D58" i="26"/>
  <c r="C61" i="26"/>
  <c r="F66" i="26"/>
  <c r="F78" i="26"/>
  <c r="I90" i="26"/>
  <c r="E58" i="26"/>
  <c r="D61" i="26"/>
  <c r="G66" i="26"/>
  <c r="G75" i="26"/>
  <c r="G78" i="26"/>
  <c r="E96" i="26"/>
  <c r="D54" i="26"/>
  <c r="F58" i="26"/>
  <c r="E61" i="26"/>
  <c r="K66" i="26"/>
  <c r="K75" i="26"/>
  <c r="K78" i="26"/>
  <c r="F98" i="26"/>
  <c r="E54" i="26"/>
  <c r="G58" i="26"/>
  <c r="F61" i="26"/>
  <c r="D70" i="26"/>
  <c r="L75" i="26"/>
  <c r="D82" i="26"/>
  <c r="G98" i="26"/>
  <c r="F54" i="26"/>
  <c r="G61" i="26"/>
  <c r="E70" i="26"/>
  <c r="E82" i="26"/>
  <c r="K54" i="26"/>
  <c r="E57" i="26"/>
  <c r="G70" i="26"/>
  <c r="E74" i="26"/>
  <c r="G82" i="26"/>
  <c r="G94" i="26"/>
  <c r="D97" i="26"/>
  <c r="G53" i="26"/>
  <c r="J76" i="26"/>
  <c r="I76" i="26"/>
  <c r="H76" i="26"/>
  <c r="L76" i="26"/>
  <c r="F76" i="26"/>
  <c r="K76" i="26"/>
  <c r="G76" i="26"/>
  <c r="E76" i="26"/>
  <c r="J65" i="26"/>
  <c r="H65" i="26"/>
  <c r="I65" i="26"/>
  <c r="L65" i="26"/>
  <c r="G59" i="26"/>
  <c r="D80" i="26"/>
  <c r="C69" i="26"/>
  <c r="L99" i="26"/>
  <c r="K99" i="26"/>
  <c r="J99" i="26"/>
  <c r="H99" i="26"/>
  <c r="E99" i="26"/>
  <c r="G99" i="26"/>
  <c r="F99" i="26"/>
  <c r="D99" i="26"/>
  <c r="C65" i="26"/>
  <c r="K59" i="26"/>
  <c r="J63" i="26"/>
  <c r="I63" i="26"/>
  <c r="H63" i="26"/>
  <c r="F63" i="26"/>
  <c r="E63" i="26"/>
  <c r="D63" i="26"/>
  <c r="C63" i="26"/>
  <c r="D65" i="26"/>
  <c r="J69" i="26"/>
  <c r="I69" i="26"/>
  <c r="H69" i="26"/>
  <c r="L69" i="26"/>
  <c r="L91" i="26"/>
  <c r="K91" i="26"/>
  <c r="J91" i="26"/>
  <c r="H91" i="26"/>
  <c r="G91" i="26"/>
  <c r="F91" i="26"/>
  <c r="E91" i="26"/>
  <c r="D91" i="26"/>
  <c r="J56" i="26"/>
  <c r="I56" i="26"/>
  <c r="H56" i="26"/>
  <c r="L56" i="26"/>
  <c r="G56" i="26"/>
  <c r="F56" i="26"/>
  <c r="K56" i="26"/>
  <c r="G63" i="26"/>
  <c r="E65" i="26"/>
  <c r="J73" i="26"/>
  <c r="I73" i="26"/>
  <c r="H73" i="26"/>
  <c r="L73" i="26"/>
  <c r="K73" i="26"/>
  <c r="J77" i="26"/>
  <c r="I77" i="26"/>
  <c r="H77" i="26"/>
  <c r="L77" i="26"/>
  <c r="K77" i="26"/>
  <c r="C91" i="26"/>
  <c r="L95" i="26"/>
  <c r="K95" i="26"/>
  <c r="J95" i="26"/>
  <c r="H95" i="26"/>
  <c r="E95" i="26"/>
  <c r="G95" i="26"/>
  <c r="F95" i="26"/>
  <c r="D95" i="26"/>
  <c r="C56" i="26"/>
  <c r="K63" i="26"/>
  <c r="J67" i="26"/>
  <c r="H67" i="26"/>
  <c r="I67" i="26"/>
  <c r="F67" i="26"/>
  <c r="E67" i="26"/>
  <c r="D67" i="26"/>
  <c r="C67" i="26"/>
  <c r="C73" i="26"/>
  <c r="C77" i="26"/>
  <c r="C81" i="26"/>
  <c r="I91" i="26"/>
  <c r="C95" i="26"/>
  <c r="J53" i="26"/>
  <c r="I53" i="26"/>
  <c r="L53" i="26"/>
  <c r="D56" i="26"/>
  <c r="J60" i="26"/>
  <c r="H60" i="26"/>
  <c r="I60" i="26"/>
  <c r="L60" i="26"/>
  <c r="K60" i="26"/>
  <c r="F60" i="26"/>
  <c r="G60" i="26"/>
  <c r="L63" i="26"/>
  <c r="G65" i="26"/>
  <c r="E69" i="26"/>
  <c r="D73" i="26"/>
  <c r="D81" i="26"/>
  <c r="B83" i="26"/>
  <c r="B85" i="26" s="1"/>
  <c r="I95" i="26"/>
  <c r="C99" i="26"/>
  <c r="C60" i="26"/>
  <c r="K65" i="26"/>
  <c r="K67" i="26"/>
  <c r="F69" i="26"/>
  <c r="E73" i="26"/>
  <c r="E81" i="26"/>
  <c r="D53" i="26"/>
  <c r="D60" i="26"/>
  <c r="J64" i="26"/>
  <c r="I64" i="26"/>
  <c r="H64" i="26"/>
  <c r="L64" i="26"/>
  <c r="F64" i="26"/>
  <c r="K64" i="26"/>
  <c r="G64" i="26"/>
  <c r="G69" i="26"/>
  <c r="G71" i="26"/>
  <c r="F73" i="26"/>
  <c r="F81" i="26"/>
  <c r="C92" i="26"/>
  <c r="L96" i="26"/>
  <c r="K96" i="26"/>
  <c r="J96" i="26"/>
  <c r="H96" i="26"/>
  <c r="I96" i="26"/>
  <c r="G96" i="26"/>
  <c r="B100" i="26"/>
  <c r="B102" i="26" s="1"/>
  <c r="AG13" i="26" s="1"/>
  <c r="AG19" i="26"/>
  <c r="I126" i="26" s="1"/>
  <c r="E53" i="26"/>
  <c r="J57" i="26"/>
  <c r="H57" i="26"/>
  <c r="I57" i="26"/>
  <c r="L57" i="26"/>
  <c r="C64" i="26"/>
  <c r="K69" i="26"/>
  <c r="G73" i="26"/>
  <c r="G77" i="26"/>
  <c r="C96" i="26"/>
  <c r="J72" i="26"/>
  <c r="I72" i="26"/>
  <c r="H72" i="26"/>
  <c r="L72" i="26"/>
  <c r="G72" i="26"/>
  <c r="K72" i="26"/>
  <c r="F72" i="26"/>
  <c r="E72" i="26"/>
  <c r="J59" i="26"/>
  <c r="I59" i="26"/>
  <c r="H59" i="26"/>
  <c r="F59" i="26"/>
  <c r="D59" i="26"/>
  <c r="E59" i="26"/>
  <c r="C59" i="26"/>
  <c r="D72" i="26"/>
  <c r="J81" i="26"/>
  <c r="I81" i="26"/>
  <c r="H81" i="26"/>
  <c r="L81" i="26"/>
  <c r="K81" i="26"/>
  <c r="F65" i="26"/>
  <c r="G67" i="26"/>
  <c r="D77" i="26"/>
  <c r="C53" i="26"/>
  <c r="E56" i="26"/>
  <c r="J71" i="26"/>
  <c r="H71" i="26"/>
  <c r="I71" i="26"/>
  <c r="F71" i="26"/>
  <c r="E71" i="26"/>
  <c r="D71" i="26"/>
  <c r="C71" i="26"/>
  <c r="E77" i="26"/>
  <c r="L92" i="26"/>
  <c r="K92" i="26"/>
  <c r="J92" i="26"/>
  <c r="I92" i="26"/>
  <c r="H92" i="26"/>
  <c r="G92" i="26"/>
  <c r="I99" i="26"/>
  <c r="L67" i="26"/>
  <c r="F77" i="26"/>
  <c r="E60" i="26"/>
  <c r="F53" i="26"/>
  <c r="C57" i="26"/>
  <c r="D64" i="26"/>
  <c r="J68" i="26"/>
  <c r="I68" i="26"/>
  <c r="H68" i="26"/>
  <c r="L68" i="26"/>
  <c r="G68" i="26"/>
  <c r="F68" i="26"/>
  <c r="K68" i="26"/>
  <c r="L71" i="26"/>
  <c r="E92" i="26"/>
  <c r="D96" i="26"/>
  <c r="J80" i="26"/>
  <c r="I80" i="26"/>
  <c r="H80" i="26"/>
  <c r="L80" i="26"/>
  <c r="G80" i="26"/>
  <c r="K80" i="26"/>
  <c r="F80" i="26"/>
  <c r="E80" i="26"/>
  <c r="C72" i="26"/>
  <c r="C76" i="26"/>
  <c r="D76" i="26"/>
  <c r="J55" i="26"/>
  <c r="I55" i="26"/>
  <c r="H55" i="26"/>
  <c r="F55" i="26"/>
  <c r="E55" i="26"/>
  <c r="D55" i="26"/>
  <c r="C55" i="26"/>
  <c r="J61" i="26"/>
  <c r="I61" i="26"/>
  <c r="H61" i="26"/>
  <c r="L61" i="26"/>
  <c r="J79" i="26"/>
  <c r="I79" i="26"/>
  <c r="H79" i="26"/>
  <c r="C75" i="26"/>
  <c r="C79" i="26"/>
  <c r="L94" i="26"/>
  <c r="K94" i="26"/>
  <c r="J94" i="26"/>
  <c r="L98" i="26"/>
  <c r="K98" i="26"/>
  <c r="J98" i="26"/>
  <c r="D75" i="26"/>
  <c r="D79" i="26"/>
  <c r="C90" i="26"/>
  <c r="C94" i="26"/>
  <c r="J54" i="26"/>
  <c r="H54" i="26"/>
  <c r="I54" i="26"/>
  <c r="J58" i="26"/>
  <c r="I58" i="26"/>
  <c r="H58" i="26"/>
  <c r="J62" i="26"/>
  <c r="H62" i="26"/>
  <c r="I62" i="26"/>
  <c r="J66" i="26"/>
  <c r="I66" i="26"/>
  <c r="H66" i="26"/>
  <c r="J70" i="26"/>
  <c r="I70" i="26"/>
  <c r="H70" i="26"/>
  <c r="J78" i="26"/>
  <c r="H78" i="26"/>
  <c r="I78" i="26"/>
  <c r="E79" i="26"/>
  <c r="J82" i="26"/>
  <c r="I82" i="26"/>
  <c r="H82" i="26"/>
  <c r="D94" i="26"/>
  <c r="D98" i="26"/>
  <c r="J75" i="26"/>
  <c r="I75" i="26"/>
  <c r="H75" i="26"/>
  <c r="L90" i="26"/>
  <c r="K90" i="26"/>
  <c r="J90" i="26"/>
  <c r="C98" i="26"/>
  <c r="J74" i="26"/>
  <c r="I74" i="26"/>
  <c r="H74" i="26"/>
  <c r="C54" i="26"/>
  <c r="C58" i="26"/>
  <c r="C62" i="26"/>
  <c r="C66" i="26"/>
  <c r="C70" i="26"/>
  <c r="C74" i="26"/>
  <c r="F75" i="26"/>
  <c r="C78" i="26"/>
  <c r="F79" i="26"/>
  <c r="C82" i="26"/>
  <c r="E90" i="26"/>
  <c r="L93" i="26"/>
  <c r="K93" i="26"/>
  <c r="J93" i="26"/>
  <c r="E94" i="26"/>
  <c r="L97" i="26"/>
  <c r="K97" i="26"/>
  <c r="J97" i="26"/>
  <c r="E98" i="26"/>
  <c r="H83" i="26" l="1"/>
  <c r="G85" i="26"/>
  <c r="G86" i="26" s="1"/>
  <c r="K85" i="26"/>
  <c r="K86" i="26" s="1"/>
  <c r="D102" i="26"/>
  <c r="D103" i="26" s="1"/>
  <c r="K83" i="26"/>
  <c r="H102" i="26"/>
  <c r="H103" i="26" s="1"/>
  <c r="I102" i="26"/>
  <c r="I103" i="26" s="1"/>
  <c r="I100" i="26"/>
  <c r="G83" i="26"/>
  <c r="D83" i="26"/>
  <c r="D85" i="26"/>
  <c r="D86" i="26" s="1"/>
  <c r="I83" i="26"/>
  <c r="I85" i="26"/>
  <c r="I86" i="26" s="1"/>
  <c r="E100" i="26"/>
  <c r="E102" i="26"/>
  <c r="E103" i="26" s="1"/>
  <c r="C83" i="26"/>
  <c r="C85" i="26" s="1"/>
  <c r="C86" i="26" s="1"/>
  <c r="B86" i="26" s="1"/>
  <c r="J83" i="26"/>
  <c r="J85" i="26"/>
  <c r="J86" i="26" s="1"/>
  <c r="L85" i="26"/>
  <c r="L86" i="26" s="1"/>
  <c r="L83" i="26"/>
  <c r="D100" i="26"/>
  <c r="H85" i="26"/>
  <c r="H86" i="26" s="1"/>
  <c r="J100" i="26"/>
  <c r="J102" i="26"/>
  <c r="J103" i="26" s="1"/>
  <c r="AG22" i="26"/>
  <c r="I129" i="26" s="1"/>
  <c r="AG18" i="26"/>
  <c r="AG26" i="26"/>
  <c r="AG27" i="26"/>
  <c r="AG16" i="26"/>
  <c r="AG15" i="26"/>
  <c r="AG17" i="26"/>
  <c r="AG25" i="26"/>
  <c r="I113" i="26"/>
  <c r="C100" i="26"/>
  <c r="C102" i="26" s="1"/>
  <c r="C103" i="26" s="1"/>
  <c r="G102" i="26"/>
  <c r="G103" i="26" s="1"/>
  <c r="G100" i="26"/>
  <c r="E83" i="26"/>
  <c r="E85" i="26"/>
  <c r="E86" i="26" s="1"/>
  <c r="F83" i="26"/>
  <c r="F85" i="26"/>
  <c r="F86" i="26" s="1"/>
  <c r="K100" i="26"/>
  <c r="K102" i="26"/>
  <c r="K103" i="26" s="1"/>
  <c r="L100" i="26"/>
  <c r="L102" i="26"/>
  <c r="L103" i="26" s="1"/>
  <c r="H100" i="26"/>
  <c r="F87" i="26" l="1"/>
  <c r="I124" i="26"/>
  <c r="H113" i="26"/>
  <c r="Z17" i="26"/>
  <c r="D113" i="26"/>
  <c r="I122" i="26"/>
  <c r="B87" i="26"/>
  <c r="F90" i="26"/>
  <c r="E113" i="26"/>
  <c r="I123" i="26"/>
  <c r="Z18" i="26"/>
  <c r="I125" i="26"/>
  <c r="AK23" i="26"/>
  <c r="AG23" i="26"/>
  <c r="I130" i="26" l="1"/>
  <c r="G113" i="26"/>
  <c r="F100" i="26"/>
  <c r="F102" i="26"/>
  <c r="F103" i="26" s="1"/>
  <c r="B103" i="26" l="1"/>
  <c r="F104" i="26" s="1"/>
  <c r="B104" i="26" l="1"/>
  <c r="C108" i="26"/>
  <c r="AE14" i="26" s="1"/>
  <c r="F106" i="26"/>
  <c r="AE20" i="26" s="1"/>
  <c r="AE21" i="26"/>
  <c r="AG21" i="26" s="1"/>
  <c r="I128" i="26" l="1"/>
  <c r="AG20" i="26"/>
  <c r="AG14" i="26"/>
  <c r="C113" i="26" l="1"/>
  <c r="I121" i="26"/>
  <c r="I127" i="26"/>
  <c r="F113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E111" i="25" s="1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AK20" i="25" s="1"/>
  <c r="O25" i="25"/>
  <c r="AE25" i="25"/>
  <c r="O26" i="25"/>
  <c r="AE26" i="25"/>
  <c r="O27" i="25"/>
  <c r="AE27" i="25"/>
  <c r="O28" i="25"/>
  <c r="AE28" i="25"/>
  <c r="O29" i="25"/>
  <c r="AE29" i="25"/>
  <c r="J113" i="25" s="1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J54" i="25"/>
  <c r="A55" i="25"/>
  <c r="B55" i="25"/>
  <c r="H55" i="25" s="1"/>
  <c r="A56" i="25"/>
  <c r="B56" i="25"/>
  <c r="C56" i="25" s="1"/>
  <c r="L56" i="25"/>
  <c r="A57" i="25"/>
  <c r="B57" i="25"/>
  <c r="D57" i="25" s="1"/>
  <c r="A58" i="25"/>
  <c r="B58" i="25"/>
  <c r="F58" i="25" s="1"/>
  <c r="A59" i="25"/>
  <c r="B59" i="25"/>
  <c r="H59" i="25" s="1"/>
  <c r="A60" i="25"/>
  <c r="B60" i="25"/>
  <c r="C60" i="25" s="1"/>
  <c r="D60" i="25"/>
  <c r="F60" i="25"/>
  <c r="H60" i="25"/>
  <c r="L60" i="25"/>
  <c r="A61" i="25"/>
  <c r="B61" i="25"/>
  <c r="D61" i="25" s="1"/>
  <c r="A62" i="25"/>
  <c r="B62" i="25"/>
  <c r="F62" i="25" s="1"/>
  <c r="A63" i="25"/>
  <c r="B63" i="25"/>
  <c r="H63" i="25" s="1"/>
  <c r="A64" i="25"/>
  <c r="B64" i="25"/>
  <c r="C64" i="25" s="1"/>
  <c r="A65" i="25"/>
  <c r="B65" i="25"/>
  <c r="D65" i="25" s="1"/>
  <c r="A66" i="25"/>
  <c r="B66" i="25"/>
  <c r="F66" i="25" s="1"/>
  <c r="L66" i="25"/>
  <c r="A67" i="25"/>
  <c r="B67" i="25"/>
  <c r="H67" i="25" s="1"/>
  <c r="A68" i="25"/>
  <c r="B68" i="25"/>
  <c r="C68" i="25" s="1"/>
  <c r="A69" i="25"/>
  <c r="B69" i="25"/>
  <c r="D69" i="25" s="1"/>
  <c r="A70" i="25"/>
  <c r="B70" i="25"/>
  <c r="F70" i="25" s="1"/>
  <c r="L70" i="25"/>
  <c r="A71" i="25"/>
  <c r="B71" i="25"/>
  <c r="H71" i="25" s="1"/>
  <c r="A72" i="25"/>
  <c r="B72" i="25"/>
  <c r="C72" i="25" s="1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H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H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L94" i="25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A99" i="25"/>
  <c r="B99" i="25"/>
  <c r="F99" i="25" s="1"/>
  <c r="C106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AE18" i="24" s="1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E111" i="24" s="1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D78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E111" i="23" s="1"/>
  <c r="N12" i="23"/>
  <c r="N11" i="23"/>
  <c r="N10" i="23"/>
  <c r="N9" i="23"/>
  <c r="N8" i="23"/>
  <c r="AB7" i="23"/>
  <c r="AI5" i="23"/>
  <c r="H67" i="23" l="1"/>
  <c r="L70" i="23"/>
  <c r="E78" i="23"/>
  <c r="H92" i="24"/>
  <c r="J58" i="25"/>
  <c r="L78" i="23"/>
  <c r="K92" i="24"/>
  <c r="D68" i="25"/>
  <c r="D58" i="25"/>
  <c r="L82" i="25"/>
  <c r="J72" i="25"/>
  <c r="H62" i="25"/>
  <c r="J60" i="25"/>
  <c r="J59" i="25"/>
  <c r="L98" i="25"/>
  <c r="L74" i="25"/>
  <c r="D75" i="24"/>
  <c r="H70" i="25"/>
  <c r="D67" i="23"/>
  <c r="K75" i="24"/>
  <c r="D92" i="25"/>
  <c r="L54" i="25"/>
  <c r="E57" i="23"/>
  <c r="K67" i="23"/>
  <c r="D95" i="23"/>
  <c r="L80" i="25"/>
  <c r="L76" i="25"/>
  <c r="H64" i="25"/>
  <c r="H54" i="25"/>
  <c r="M57" i="23"/>
  <c r="H95" i="23"/>
  <c r="J80" i="25"/>
  <c r="J76" i="25"/>
  <c r="L72" i="25"/>
  <c r="D64" i="25"/>
  <c r="D54" i="25"/>
  <c r="D95" i="24"/>
  <c r="D80" i="25"/>
  <c r="F76" i="25"/>
  <c r="D72" i="25"/>
  <c r="C75" i="24"/>
  <c r="M74" i="23"/>
  <c r="J56" i="25"/>
  <c r="D96" i="24"/>
  <c r="L62" i="25"/>
  <c r="L71" i="24"/>
  <c r="D92" i="23"/>
  <c r="L54" i="23"/>
  <c r="K63" i="23"/>
  <c r="E94" i="24"/>
  <c r="M73" i="23"/>
  <c r="M69" i="23"/>
  <c r="E94" i="23"/>
  <c r="I57" i="24"/>
  <c r="J96" i="25"/>
  <c r="D76" i="25"/>
  <c r="H72" i="25"/>
  <c r="L68" i="25"/>
  <c r="F59" i="25"/>
  <c r="H56" i="25"/>
  <c r="M58" i="23"/>
  <c r="G92" i="23"/>
  <c r="M54" i="23"/>
  <c r="E77" i="23"/>
  <c r="E73" i="23"/>
  <c r="I77" i="23"/>
  <c r="I73" i="24"/>
  <c r="I69" i="23"/>
  <c r="L96" i="25"/>
  <c r="I94" i="23"/>
  <c r="E74" i="24"/>
  <c r="H96" i="25"/>
  <c r="L92" i="25"/>
  <c r="J68" i="25"/>
  <c r="F56" i="25"/>
  <c r="H54" i="23"/>
  <c r="F96" i="25"/>
  <c r="J92" i="25"/>
  <c r="L78" i="25"/>
  <c r="H68" i="25"/>
  <c r="L64" i="25"/>
  <c r="D56" i="25"/>
  <c r="L59" i="23"/>
  <c r="D96" i="25"/>
  <c r="H92" i="25"/>
  <c r="H78" i="25"/>
  <c r="F68" i="25"/>
  <c r="J64" i="25"/>
  <c r="L58" i="25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AK18" i="24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AE20" i="25"/>
  <c r="AE18" i="23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AG20" i="25"/>
  <c r="G113" i="25" s="1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AG18" i="23"/>
  <c r="G113" i="23" s="1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D100" i="25" l="1"/>
  <c r="I100" i="23"/>
  <c r="J100" i="25"/>
  <c r="H102" i="25"/>
  <c r="H103" i="25" s="1"/>
  <c r="AG19" i="25"/>
  <c r="AG21" i="25"/>
  <c r="M100" i="23"/>
  <c r="D83" i="25"/>
  <c r="M102" i="24"/>
  <c r="M103" i="24" s="1"/>
  <c r="E100" i="23"/>
  <c r="D85" i="25"/>
  <c r="D86" i="25" s="1"/>
  <c r="L102" i="25"/>
  <c r="L103" i="25" s="1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Z27" i="25" s="1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M86" i="24" s="1"/>
  <c r="E102" i="24"/>
  <c r="E103" i="24" s="1"/>
  <c r="E86" i="24"/>
  <c r="I85" i="24"/>
  <c r="I86" i="24" s="1"/>
  <c r="I83" i="24"/>
  <c r="M83" i="24"/>
  <c r="AG25" i="24"/>
  <c r="Z25" i="24" s="1"/>
  <c r="AG24" i="24"/>
  <c r="Z24" i="24" s="1"/>
  <c r="AG23" i="24"/>
  <c r="AG22" i="24"/>
  <c r="AG15" i="24"/>
  <c r="AG21" i="24"/>
  <c r="AG18" i="24" s="1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Z24" i="23" s="1"/>
  <c r="AG23" i="23"/>
  <c r="AG22" i="23"/>
  <c r="AG16" i="23"/>
  <c r="E113" i="23" s="1"/>
  <c r="AG15" i="23"/>
  <c r="AG21" i="23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E111" i="15" s="1"/>
  <c r="AG12" i="16"/>
  <c r="E111" i="16" s="1"/>
  <c r="AG12" i="19"/>
  <c r="E111" i="19" s="1"/>
  <c r="AG12" i="20"/>
  <c r="E111" i="20" s="1"/>
  <c r="AG12" i="18"/>
  <c r="E111" i="18" s="1"/>
  <c r="AG12" i="22"/>
  <c r="E111" i="22" s="1"/>
  <c r="AB7" i="15"/>
  <c r="AB7" i="16"/>
  <c r="AB7" i="19"/>
  <c r="AB7" i="20"/>
  <c r="AB7" i="18"/>
  <c r="AB7" i="22"/>
  <c r="I113" i="25" l="1"/>
  <c r="B87" i="25"/>
  <c r="F90" i="25"/>
  <c r="H113" i="25"/>
  <c r="D113" i="25"/>
  <c r="I113" i="23"/>
  <c r="F87" i="23"/>
  <c r="B87" i="23" s="1"/>
  <c r="B86" i="24"/>
  <c r="F87" i="24" s="1"/>
  <c r="I113" i="24"/>
  <c r="D113" i="24"/>
  <c r="H113" i="24"/>
  <c r="F90" i="23"/>
  <c r="D113" i="23"/>
  <c r="H113" i="23"/>
  <c r="C106" i="15"/>
  <c r="C106" i="16"/>
  <c r="C106" i="19"/>
  <c r="C106" i="20"/>
  <c r="C106" i="18"/>
  <c r="C106" i="22"/>
  <c r="F102" i="25" l="1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B103" i="25" l="1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F99" i="22"/>
  <c r="E99" i="22"/>
  <c r="D99" i="22"/>
  <c r="K98" i="22"/>
  <c r="J98" i="22"/>
  <c r="G98" i="22"/>
  <c r="F98" i="22"/>
  <c r="C98" i="22"/>
  <c r="J97" i="22"/>
  <c r="I97" i="22"/>
  <c r="D97" i="22"/>
  <c r="K96" i="22"/>
  <c r="J96" i="22"/>
  <c r="G96" i="22"/>
  <c r="F96" i="22"/>
  <c r="C96" i="22"/>
  <c r="L93" i="22"/>
  <c r="J93" i="22"/>
  <c r="I93" i="22"/>
  <c r="H93" i="22"/>
  <c r="F93" i="22"/>
  <c r="E93" i="22"/>
  <c r="D93" i="22"/>
  <c r="K92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H78" i="22"/>
  <c r="H76" i="22"/>
  <c r="H74" i="22"/>
  <c r="H72" i="22"/>
  <c r="G69" i="22"/>
  <c r="K61" i="22"/>
  <c r="C61" i="22"/>
  <c r="J57" i="22"/>
  <c r="K55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L68" i="22" l="1"/>
  <c r="I95" i="22"/>
  <c r="J73" i="22"/>
  <c r="G58" i="22"/>
  <c r="H80" i="22"/>
  <c r="D95" i="22"/>
  <c r="J64" i="22"/>
  <c r="E97" i="22"/>
  <c r="E95" i="22"/>
  <c r="F95" i="22"/>
  <c r="F97" i="22"/>
  <c r="F59" i="22"/>
  <c r="H95" i="22"/>
  <c r="H97" i="22"/>
  <c r="L95" i="22"/>
  <c r="L97" i="22"/>
  <c r="F65" i="22"/>
  <c r="C53" i="22"/>
  <c r="G94" i="22"/>
  <c r="C94" i="22"/>
  <c r="J95" i="22"/>
  <c r="K67" i="22"/>
  <c r="F94" i="22"/>
  <c r="H53" i="22"/>
  <c r="J94" i="22"/>
  <c r="C55" i="22"/>
  <c r="F71" i="22"/>
  <c r="K94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AE18" i="22"/>
  <c r="AK18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I103" i="22" s="1"/>
  <c r="D102" i="22"/>
  <c r="D103" i="22" s="1"/>
  <c r="C100" i="22"/>
  <c r="C102" i="22" s="1"/>
  <c r="C103" i="22" s="1"/>
  <c r="H102" i="22"/>
  <c r="H103" i="22" s="1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Z23" i="22" s="1"/>
  <c r="AG22" i="22"/>
  <c r="AG16" i="22"/>
  <c r="E113" i="22" s="1"/>
  <c r="AG20" i="22"/>
  <c r="AG24" i="22"/>
  <c r="Z24" i="22" s="1"/>
  <c r="AG25" i="22"/>
  <c r="F113" i="24" l="1"/>
  <c r="AG14" i="24"/>
  <c r="C113" i="24" s="1"/>
  <c r="AG18" i="22"/>
  <c r="G113" i="22" s="1"/>
  <c r="B86" i="22"/>
  <c r="F87" i="22" s="1"/>
  <c r="D113" i="22"/>
  <c r="I113" i="22"/>
  <c r="H11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I83" i="20" s="1"/>
  <c r="H53" i="20"/>
  <c r="G53" i="20"/>
  <c r="F53" i="20"/>
  <c r="E53" i="20"/>
  <c r="D53" i="20"/>
  <c r="D85" i="20" s="1"/>
  <c r="C53" i="20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AE18" i="20" s="1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L85" i="19" s="1"/>
  <c r="K53" i="19"/>
  <c r="J53" i="19"/>
  <c r="I53" i="19"/>
  <c r="I83" i="19" s="1"/>
  <c r="H53" i="19"/>
  <c r="H85" i="19" s="1"/>
  <c r="G53" i="19"/>
  <c r="F53" i="19"/>
  <c r="F83" i="19" s="1"/>
  <c r="E53" i="19"/>
  <c r="D53" i="19"/>
  <c r="D85" i="19" s="1"/>
  <c r="C53" i="19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AK20" i="18" s="1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D83" i="18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L85" i="20" l="1"/>
  <c r="K83" i="19"/>
  <c r="C83" i="20"/>
  <c r="C85" i="20" s="1"/>
  <c r="C86" i="20" s="1"/>
  <c r="C83" i="19"/>
  <c r="C85" i="19" s="1"/>
  <c r="C86" i="19" s="1"/>
  <c r="L86" i="19"/>
  <c r="D86" i="19"/>
  <c r="F83" i="20"/>
  <c r="B100" i="18"/>
  <c r="B102" i="18" s="1"/>
  <c r="AG13" i="18" s="1"/>
  <c r="AG25" i="18" s="1"/>
  <c r="H83" i="18"/>
  <c r="H86" i="19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G90" i="18"/>
  <c r="G102" i="18" s="1"/>
  <c r="J83" i="19"/>
  <c r="N90" i="18"/>
  <c r="N102" i="18" s="1"/>
  <c r="N103" i="18" s="1"/>
  <c r="E90" i="18"/>
  <c r="E102" i="18" s="1"/>
  <c r="E103" i="18" s="1"/>
  <c r="M90" i="18"/>
  <c r="M100" i="18" s="1"/>
  <c r="D90" i="18"/>
  <c r="D100" i="18" s="1"/>
  <c r="K90" i="18"/>
  <c r="K100" i="18" s="1"/>
  <c r="L90" i="18"/>
  <c r="E83" i="19"/>
  <c r="M83" i="19"/>
  <c r="E83" i="20"/>
  <c r="M83" i="20"/>
  <c r="M90" i="20"/>
  <c r="M100" i="20" s="1"/>
  <c r="H90" i="20"/>
  <c r="H102" i="20" s="1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D90" i="20"/>
  <c r="D100" i="20" s="1"/>
  <c r="I90" i="20"/>
  <c r="I102" i="20" s="1"/>
  <c r="B100" i="20"/>
  <c r="B102" i="20" s="1"/>
  <c r="AG13" i="20" s="1"/>
  <c r="AG19" i="20" s="1"/>
  <c r="AE18" i="19"/>
  <c r="AK18" i="19"/>
  <c r="AK18" i="20"/>
  <c r="AE20" i="18"/>
  <c r="L100" i="18"/>
  <c r="C100" i="18"/>
  <c r="L102" i="18"/>
  <c r="H102" i="18"/>
  <c r="H103" i="18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M85" i="18"/>
  <c r="M86" i="18" s="1"/>
  <c r="G100" i="18"/>
  <c r="K85" i="18"/>
  <c r="K86" i="18" s="1"/>
  <c r="G85" i="18"/>
  <c r="G86" i="18" s="1"/>
  <c r="AI5" i="16"/>
  <c r="AI5" i="15"/>
  <c r="H100" i="20" l="1"/>
  <c r="AG19" i="21"/>
  <c r="C102" i="18"/>
  <c r="C103" i="18" s="1"/>
  <c r="N103" i="20"/>
  <c r="H103" i="20"/>
  <c r="L103" i="18"/>
  <c r="AG27" i="18"/>
  <c r="Z27" i="18" s="1"/>
  <c r="AG16" i="21"/>
  <c r="E113" i="21" s="1"/>
  <c r="AG15" i="18"/>
  <c r="D113" i="18" s="1"/>
  <c r="AG15" i="21"/>
  <c r="D113" i="21" s="1"/>
  <c r="AG25" i="21"/>
  <c r="H113" i="21" s="1"/>
  <c r="M102" i="20"/>
  <c r="M103" i="20" s="1"/>
  <c r="AG24" i="21"/>
  <c r="AG16" i="18"/>
  <c r="E113" i="18" s="1"/>
  <c r="G100" i="21"/>
  <c r="AG29" i="18"/>
  <c r="N100" i="18"/>
  <c r="G103" i="18"/>
  <c r="AG22" i="20"/>
  <c r="AG18" i="20" s="1"/>
  <c r="G113" i="20" s="1"/>
  <c r="K102" i="18"/>
  <c r="K103" i="18" s="1"/>
  <c r="D102" i="18"/>
  <c r="D103" i="18" s="1"/>
  <c r="J102" i="18"/>
  <c r="J103" i="18" s="1"/>
  <c r="AG19" i="18"/>
  <c r="AG22" i="18"/>
  <c r="AG21" i="18"/>
  <c r="AG26" i="18"/>
  <c r="AG28" i="18"/>
  <c r="Z28" i="18" s="1"/>
  <c r="AG24" i="18"/>
  <c r="AG20" i="18" s="1"/>
  <c r="G113" i="18" s="1"/>
  <c r="E100" i="18"/>
  <c r="AG19" i="19"/>
  <c r="AG20" i="19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D113" i="20" s="1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AG18" i="19" s="1"/>
  <c r="F87" i="19"/>
  <c r="B87" i="19" s="1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H113" i="20" l="1"/>
  <c r="K113" i="19"/>
  <c r="H113" i="18"/>
  <c r="I113" i="20"/>
  <c r="F90" i="20"/>
  <c r="I113" i="18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B100" i="15" l="1"/>
  <c r="B102" i="15" s="1"/>
  <c r="AG13" i="15" s="1"/>
  <c r="AG19" i="15" s="1"/>
  <c r="I85" i="16"/>
  <c r="K85" i="15"/>
  <c r="K86" i="15" s="1"/>
  <c r="D90" i="15"/>
  <c r="D102" i="15" s="1"/>
  <c r="D103" i="15" s="1"/>
  <c r="AE15" i="15" s="1"/>
  <c r="C90" i="15"/>
  <c r="C100" i="15" s="1"/>
  <c r="C102" i="15" s="1"/>
  <c r="C103" i="15" s="1"/>
  <c r="E83" i="15"/>
  <c r="G90" i="15"/>
  <c r="G102" i="15" s="1"/>
  <c r="G103" i="15" s="1"/>
  <c r="I90" i="15"/>
  <c r="I100" i="15" s="1"/>
  <c r="J90" i="15"/>
  <c r="J102" i="15" s="1"/>
  <c r="J103" i="15" s="1"/>
  <c r="H90" i="15"/>
  <c r="H102" i="15" s="1"/>
  <c r="H103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AK18" i="16"/>
  <c r="AE18" i="16"/>
  <c r="J85" i="15"/>
  <c r="J86" i="15" s="1"/>
  <c r="G86" i="15"/>
  <c r="H85" i="15"/>
  <c r="H86" i="15" s="1"/>
  <c r="D83" i="15"/>
  <c r="F83" i="15"/>
  <c r="L83" i="15"/>
  <c r="E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D100" i="15"/>
  <c r="AG24" i="15" l="1"/>
  <c r="AG26" i="15"/>
  <c r="Z26" i="15" s="1"/>
  <c r="AG23" i="15"/>
  <c r="AG25" i="15"/>
  <c r="Z25" i="15" s="1"/>
  <c r="AG16" i="15"/>
  <c r="E113" i="15" s="1"/>
  <c r="AG15" i="15"/>
  <c r="D113" i="15" s="1"/>
  <c r="H100" i="15"/>
  <c r="L102" i="15"/>
  <c r="L103" i="15" s="1"/>
  <c r="AE27" i="15" s="1"/>
  <c r="J113" i="15" s="1"/>
  <c r="I102" i="15"/>
  <c r="I103" i="15" s="1"/>
  <c r="AE22" i="15" s="1"/>
  <c r="AG22" i="15" s="1"/>
  <c r="G100" i="15"/>
  <c r="E100" i="15"/>
  <c r="AG27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Z24" i="16" s="1"/>
  <c r="K113" i="16"/>
  <c r="AG21" i="16"/>
  <c r="AG25" i="16"/>
  <c r="Z25" i="16" s="1"/>
  <c r="AG23" i="16"/>
  <c r="H113" i="15" l="1"/>
  <c r="I113" i="15"/>
  <c r="AK20" i="15"/>
  <c r="AE20" i="15"/>
  <c r="B87" i="15"/>
  <c r="F100" i="15"/>
  <c r="AG20" i="15"/>
  <c r="G113" i="15" s="1"/>
  <c r="AG18" i="16"/>
  <c r="G113" i="16" s="1"/>
  <c r="I113" i="16"/>
  <c r="H113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<sst xmlns="http://schemas.openxmlformats.org/spreadsheetml/2006/main" count="1659" uniqueCount="181">
  <si>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</si>
  <si>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</si>
  <si>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</si>
  <si>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</si>
  <si>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</si>
  <si>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</si>
  <si>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</si>
  <si>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</si>
  <si>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</si>
  <si>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</si>
  <si>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</si>
  <si>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</si>
  <si>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</si>
  <si>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</si>
  <si>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</si>
  <si>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</si>
  <si>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</si>
  <si>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</si>
  <si>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</si>
  <si>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</si>
  <si>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</si>
  <si>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</si>
  <si>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</si>
  <si>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</si>
  <si>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</si>
  <si>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</si>
  <si>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</si>
  <si>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</si>
  <si>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</si>
  <si>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</si>
  <si>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</si>
  <si>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</si>
  <si>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</si>
  <si>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</si>
  <si>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</si>
  <si>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</si>
  <si>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</si>
  <si>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</si>
  <si>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</si>
  <si>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</si>
  <si>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</si>
  <si>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</si>
  <si>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</si>
  <si>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</si>
  <si>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</si>
  <si>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</si>
  <si>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</si>
  <si>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</si>
  <si>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</si>
  <si>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</si>
  <si>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</si>
  <si>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</si>
  <si>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</si>
  <si>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</si>
  <si>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</si>
  <si>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</si>
  <si>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</si>
  <si>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</si>
  <si>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</si>
  <si>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</si>
  <si>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</si>
  <si>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</si>
  <si>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</si>
  <si>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</si>
  <si>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</si>
  <si>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</si>
  <si>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</si>
  <si>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</si>
  <si>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</si>
  <si>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</si>
  <si>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</si>
  <si>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</si>
  <si>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</si>
  <si>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</si>
  <si>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</si>
  <si>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</si>
  <si>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</si>
  <si>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</si>
  <si>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</si>
  <si>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</si>
  <si>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</si>
  <si>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</si>
  <si>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</si>
  <si>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</si>
  <si>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</si>
  <si>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</si>
  <si>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</si>
  <si>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</si>
  <si>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</si>
  <si>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</si>
  <si>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</si>
  <si>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</si>
  <si>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</si>
  <si>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</si>
  <si>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</si>
  <si>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</si>
  <si>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</si>
  <si>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</si>
  <si>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</si>
  <si>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</si>
  <si>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</si>
  <si>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</si>
  <si>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</si>
  <si>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</si>
  <si>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</si>
  <si>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</si>
  <si>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</si>
  <si>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</si>
  <si>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</si>
  <si>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</si>
  <si>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</si>
  <si>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</si>
  <si>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</si>
  <si>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</si>
  <si>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</si>
  <si>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</si>
  <si>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</si>
  <si>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</si>
  <si>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</si>
  <si>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</si>
  <si>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</si>
  <si>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</si>
  <si>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</si>
  <si>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</si>
  <si>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</si>
  <si>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</si>
  <si>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</si>
  <si>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</si>
  <si>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</si>
  <si>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</si>
  <si>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</si>
  <si>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</si>
  <si>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</si>
  <si>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</si>
  <si>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t>鉄分入り</t>
    <rPh sb="0" eb="2">
      <t>テツブン</t>
    </rPh>
    <rPh sb="2" eb="3">
      <t>イ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</si>
  <si>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</si>
  <si>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</si>
  <si>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</si>
  <si>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</si>
  <si>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</si>
  <si>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</si>
  <si>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</si>
  <si>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</si>
  <si>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</si>
  <si>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</si>
  <si>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</si>
  <si>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</si>
  <si>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</si>
  <si>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</si>
  <si>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</si>
  <si>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</si>
  <si>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</si>
  <si>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</si>
  <si>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</si>
  <si>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</si>
  <si>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</si>
  <si>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</si>
  <si>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</si>
  <si>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</si>
  <si>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</si>
  <si>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</si>
  <si>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</si>
  <si>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</si>
  <si>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</si>
  <si>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</si>
  <si>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</si>
  <si>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</si>
  <si>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</si>
  <si>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※製品100g当たり、ｶﾙｼｳﾑ105mg以上の場合「ｶﾙｼｳﾑ入り」といえます。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</si>
  <si>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0.15mg以上の場合「ﾋﾞﾀﾐﾝB1入り」といえます。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</si>
  <si>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※製品100g当たり、鉄分0.98mg以上の場合「鉄分入り」といえます。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</si>
  <si>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※製品100g当たり、ｶﾙｼｳﾑ105mg以上、ﾋﾞﾀﾐﾝD1.35μg以上の場合、</t>
    <rPh sb="36" eb="38">
      <t>イジョウ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</si>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</sst>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;\-0.0;0;@"/>
    <numFmt numFmtId="193" formatCode="0.0_ ;[Red]\-0.0\ "/>
  </numFmts>
  <fonts count="48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90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2" fontId="35" fillId="0" borderId="1" xfId="3" applyNumberFormat="1" applyFont="1" applyBorder="1" applyProtection="1">
      <protection locked="0"/>
    </xf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5" fillId="0" borderId="0" xfId="3" applyFont="1" applyBorder="1" applyAlignment="1">
      <alignment horizontal="center"/>
    </xf>
    <xf numFmtId="2" fontId="6" fillId="0" borderId="10" xfId="3" applyNumberFormat="1" applyFont="1" applyBorder="1" applyProtection="1">
      <protection locked="0"/>
    </xf>
    <xf numFmtId="181" fontId="30" fillId="0" borderId="4" xfId="0" applyNumberFormat="1" applyFont="1" applyBorder="1" applyProtection="1">
      <protection locked="0"/>
    </xf>
    <xf numFmtId="193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10" borderId="2" xfId="3" applyNumberFormat="1" applyFont="1" applyFill="1" applyBorder="1" applyProtection="1">
      <protection locked="0"/>
    </xf>
    <xf numFmtId="177" fontId="6" fillId="10" borderId="2" xfId="3" applyNumberFormat="1" applyFont="1" applyFill="1" applyBorder="1" applyProtection="1">
      <protection locked="0"/>
    </xf>
    <xf numFmtId="2" fontId="5" fillId="10" borderId="0" xfId="3" applyFont="1" applyFill="1"/>
    <xf numFmtId="176" fontId="6" fillId="10" borderId="13" xfId="3" applyNumberFormat="1" applyFont="1" applyFill="1" applyBorder="1" applyProtection="1">
      <protection locked="0"/>
    </xf>
    <xf numFmtId="176" fontId="6" fillId="10" borderId="15" xfId="3" applyNumberFormat="1" applyFont="1" applyFill="1" applyBorder="1" applyProtection="1">
      <protection locked="0"/>
    </xf>
    <xf numFmtId="38" fontId="6" fillId="10" borderId="15" xfId="1" applyFont="1" applyFill="1" applyBorder="1" applyProtection="1">
      <protection locked="0"/>
    </xf>
    <xf numFmtId="2" fontId="6" fillId="10" borderId="15" xfId="3" applyNumberFormat="1" applyFont="1" applyFill="1" applyBorder="1" applyProtection="1">
      <protection locked="0"/>
    </xf>
    <xf numFmtId="1" fontId="6" fillId="10" borderId="15" xfId="3" applyNumberFormat="1" applyFont="1" applyFill="1" applyBorder="1" applyProtection="1">
      <protection locked="0"/>
    </xf>
    <xf numFmtId="176" fontId="6" fillId="10" borderId="33" xfId="3" applyNumberFormat="1" applyFont="1" applyFill="1" applyBorder="1" applyProtection="1">
      <protection locked="0"/>
    </xf>
    <xf numFmtId="2" fontId="6" fillId="10" borderId="13" xfId="3" applyNumberFormat="1" applyFont="1" applyFill="1" applyBorder="1" applyProtection="1">
      <protection locked="0"/>
    </xf>
    <xf numFmtId="38" fontId="6" fillId="10" borderId="26" xfId="1" applyFont="1" applyFill="1" applyBorder="1" applyProtection="1">
      <protection locked="0"/>
    </xf>
    <xf numFmtId="176" fontId="6" fillId="10" borderId="25" xfId="3" applyNumberFormat="1" applyFont="1" applyFill="1" applyBorder="1" applyProtection="1">
      <protection locked="0"/>
    </xf>
    <xf numFmtId="40" fontId="6" fillId="10" borderId="26" xfId="1" applyNumberFormat="1" applyFont="1" applyFill="1" applyBorder="1" applyProtection="1">
      <protection locked="0"/>
    </xf>
    <xf numFmtId="2" fontId="6" fillId="10" borderId="2" xfId="3" applyNumberFormat="1" applyFont="1" applyFill="1" applyBorder="1" applyProtection="1">
      <protection locked="0"/>
    </xf>
    <xf numFmtId="2" fontId="6" fillId="10" borderId="33" xfId="3" applyNumberFormat="1" applyFont="1" applyFill="1" applyBorder="1" applyProtection="1">
      <protection locked="0"/>
    </xf>
    <xf numFmtId="1" fontId="6" fillId="10" borderId="13" xfId="3" applyNumberFormat="1" applyFont="1" applyFill="1" applyBorder="1" applyProtection="1">
      <protection locked="0"/>
    </xf>
    <xf numFmtId="184" fontId="6" fillId="10" borderId="26" xfId="1" applyNumberFormat="1" applyFont="1" applyFill="1" applyBorder="1" applyProtection="1">
      <protection locked="0"/>
    </xf>
    <xf numFmtId="38" fontId="6" fillId="10" borderId="13" xfId="1" applyFont="1" applyFill="1" applyBorder="1" applyProtection="1">
      <protection locked="0"/>
    </xf>
    <xf numFmtId="176" fontId="6" fillId="10" borderId="4" xfId="3" applyNumberFormat="1" applyFont="1" applyFill="1" applyBorder="1" applyProtection="1">
      <protection locked="0"/>
    </xf>
    <xf numFmtId="176" fontId="35" fillId="10" borderId="13" xfId="3" applyNumberFormat="1" applyFont="1" applyFill="1" applyBorder="1" applyProtection="1">
      <protection locked="0"/>
    </xf>
    <xf numFmtId="176" fontId="35" fillId="10" borderId="15" xfId="3" applyNumberFormat="1" applyFont="1" applyFill="1" applyBorder="1" applyProtection="1">
      <protection locked="0"/>
    </xf>
    <xf numFmtId="1" fontId="35" fillId="10" borderId="15" xfId="3" applyNumberFormat="1" applyFont="1" applyFill="1" applyBorder="1" applyProtection="1">
      <protection locked="0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4" fillId="3" borderId="24" xfId="3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9" fillId="0" borderId="1" xfId="3" applyFont="1" applyBorder="1" applyAlignment="1">
      <alignment horizontal="left" shrinkToFit="1"/>
    </xf>
    <xf numFmtId="2" fontId="13" fillId="0" borderId="0" xfId="3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179" fontId="44" fillId="8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9" borderId="46" xfId="5" applyFont="1" applyFill="1" applyBorder="1" applyAlignment="1">
      <alignment horizontal="left" vertical="center" shrinkToFit="1"/>
    </xf>
    <xf numFmtId="189" fontId="44" fillId="9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8" borderId="46" xfId="5" applyNumberFormat="1" applyFont="1" applyFill="1" applyBorder="1" applyAlignment="1" applyProtection="1">
      <alignment horizontal="center" vertical="center" shrinkToFit="1"/>
      <protection locked="0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1" xfId="4" applyNumberFormat="1" applyFont="1" applyFill="1" applyBorder="1" applyAlignment="1" applyProtection="1">
      <alignment horizontal="right" vertical="center" shrinkToFit="1"/>
      <protection locked="0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8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13" fillId="0" borderId="0" xfId="3" applyFont="1" applyFill="1" applyBorder="1" applyAlignment="1">
      <alignment vertical="center"/>
    </xf>
    <xf numFmtId="2" fontId="5" fillId="0" borderId="0" xfId="3" applyFont="1" applyFill="1"/>
    <xf numFmtId="40" fontId="5" fillId="0" borderId="45" xfId="1" applyNumberFormat="1" applyFont="1" applyFill="1" applyBorder="1" applyProtection="1"/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98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86</xdr:row>
          <xdr:rowOff>0</xdr:rowOff>
        </xdr:from>
        <xdr:to>
          <xdr:col>26</xdr:col>
          <xdr:colOff>171450</xdr:colOff>
          <xdr:row>87</xdr:row>
          <xdr:rowOff>76200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152400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390525</xdr:colOff>
          <xdr:row>87</xdr:row>
          <xdr:rowOff>76200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3073" name="cmdCopy87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3074" name="cmdClear87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3075" name="cmdCopy10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3076" name="cmdClear10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28575</xdr:rowOff>
        </xdr:to>
        <xdr:sp macro="" textlink="">
          <xdr:nvSpPr>
            <xdr:cNvPr id="4097" name="cmdCopy87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57150</xdr:colOff>
          <xdr:row>87</xdr:row>
          <xdr:rowOff>28575</xdr:rowOff>
        </xdr:to>
        <xdr:sp macro="" textlink="">
          <xdr:nvSpPr>
            <xdr:cNvPr id="4098" name="cmdClear87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102</xdr:row>
          <xdr:rowOff>228600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4099" name="cmdCopy10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102</xdr:row>
          <xdr:rowOff>228600</xdr:rowOff>
        </xdr:from>
        <xdr:to>
          <xdr:col>26</xdr:col>
          <xdr:colOff>47625</xdr:colOff>
          <xdr:row>104</xdr:row>
          <xdr:rowOff>0</xdr:rowOff>
        </xdr:to>
        <xdr:sp macro="" textlink="">
          <xdr:nvSpPr>
            <xdr:cNvPr id="4100" name="cmdClear10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5121" name="cmdCopy87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361950</xdr:colOff>
          <xdr:row>87</xdr:row>
          <xdr:rowOff>76200</xdr:rowOff>
        </xdr:to>
        <xdr:sp macro="" textlink="">
          <xdr:nvSpPr>
            <xdr:cNvPr id="5122" name="cmdClear87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5123" name="cmdCopy104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5124" name="cmdClear10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19</xdr:col>
          <xdr:colOff>0</xdr:colOff>
          <xdr:row>87</xdr:row>
          <xdr:rowOff>76200</xdr:rowOff>
        </xdr:to>
        <xdr:sp macro="" textlink="">
          <xdr:nvSpPr>
            <xdr:cNvPr id="6145" name="cmdCopy87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25</xdr:col>
          <xdr:colOff>476250</xdr:colOff>
          <xdr:row>87</xdr:row>
          <xdr:rowOff>76200</xdr:rowOff>
        </xdr:to>
        <xdr:sp macro="" textlink="">
          <xdr:nvSpPr>
            <xdr:cNvPr id="6146" name="cmdClear87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19</xdr:col>
          <xdr:colOff>0</xdr:colOff>
          <xdr:row>104</xdr:row>
          <xdr:rowOff>47625</xdr:rowOff>
        </xdr:to>
        <xdr:sp macro="" textlink="">
          <xdr:nvSpPr>
            <xdr:cNvPr id="6147" name="cmdCopy104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103</xdr:row>
          <xdr:rowOff>0</xdr:rowOff>
        </xdr:from>
        <xdr:to>
          <xdr:col>25</xdr:col>
          <xdr:colOff>466725</xdr:colOff>
          <xdr:row>104</xdr:row>
          <xdr:rowOff>47625</xdr:rowOff>
        </xdr:to>
        <xdr:sp macro="" textlink="">
          <xdr:nvSpPr>
            <xdr:cNvPr id="6148" name="cmdClear10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7169" name="cmdCopy87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76200</xdr:rowOff>
        </xdr:to>
        <xdr:sp macro="" textlink="">
          <xdr:nvSpPr>
            <xdr:cNvPr id="7170" name="cmdClear87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7171" name="cmdCopy104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103</xdr:row>
          <xdr:rowOff>0</xdr:rowOff>
        </xdr:from>
        <xdr:to>
          <xdr:col>26</xdr:col>
          <xdr:colOff>38100</xdr:colOff>
          <xdr:row>104</xdr:row>
          <xdr:rowOff>47625</xdr:rowOff>
        </xdr:to>
        <xdr:sp macro="" textlink="">
          <xdr:nvSpPr>
            <xdr:cNvPr id="7172" name="cmdClear10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14</xdr:col>
          <xdr:colOff>809625</xdr:colOff>
          <xdr:row>87</xdr:row>
          <xdr:rowOff>76200</xdr:rowOff>
        </xdr:to>
        <xdr:sp macro="" textlink="">
          <xdr:nvSpPr>
            <xdr:cNvPr id="8193" name="cmdCopy87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76200</xdr:rowOff>
        </xdr:to>
        <xdr:sp macro="" textlink="">
          <xdr:nvSpPr>
            <xdr:cNvPr id="8194" name="cmdClear87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14</xdr:col>
          <xdr:colOff>809625</xdr:colOff>
          <xdr:row>104</xdr:row>
          <xdr:rowOff>47625</xdr:rowOff>
        </xdr:to>
        <xdr:sp macro="" textlink="">
          <xdr:nvSpPr>
            <xdr:cNvPr id="8195" name="cmdCopy104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103</xdr:row>
          <xdr:rowOff>0</xdr:rowOff>
        </xdr:from>
        <xdr:to>
          <xdr:col>21</xdr:col>
          <xdr:colOff>0</xdr:colOff>
          <xdr:row>104</xdr:row>
          <xdr:rowOff>47625</xdr:rowOff>
        </xdr:to>
        <xdr:sp macro="" textlink="">
          <xdr:nvSpPr>
            <xdr:cNvPr id="8196" name="cmdClear10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9217" name="cmdCopy87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0</xdr:colOff>
          <xdr:row>87</xdr:row>
          <xdr:rowOff>76200</xdr:rowOff>
        </xdr:to>
        <xdr:sp macro="" textlink="">
          <xdr:nvSpPr>
            <xdr:cNvPr id="9218" name="cmdClear87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9219" name="cmdCopy104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9220" name="cmdClear10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32656</xdr:colOff>
      <xdr:row>23</xdr:row>
      <xdr:rowOff>174169</xdr:rowOff>
    </xdr:from>
    <xdr:to>
      <xdr:col>26</xdr:col>
      <xdr:colOff>1382484</xdr:colOff>
      <xdr:row>26</xdr:row>
      <xdr:rowOff>228599</xdr:rowOff>
    </xdr:to>
    <xdr:sp macro="" textlink="">
      <xdr:nvSpPr>
        <xdr:cNvPr id="6" name="四角形吹き出し 5"/>
        <xdr:cNvSpPr/>
      </xdr:nvSpPr>
      <xdr:spPr bwMode="auto">
        <a:xfrm>
          <a:off x="10123713" y="6172198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0233661" y="28487371"/>
          <a:ext cx="2534738" cy="863783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29</xdr:col>
      <xdr:colOff>193223</xdr:colOff>
      <xdr:row>3</xdr:row>
      <xdr:rowOff>166006</xdr:rowOff>
    </xdr:to>
    <xdr:sp macro="" textlink="">
      <xdr:nvSpPr>
        <xdr:cNvPr id="8" name="角丸四角形 7"/>
        <xdr:cNvSpPr/>
      </xdr:nvSpPr>
      <xdr:spPr bwMode="auto">
        <a:xfrm>
          <a:off x="11179629" y="206829"/>
          <a:ext cx="2272394" cy="57966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1265" name="cmdCopy87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1266" name="cmdClear87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1267" name="cmdCopy104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1268" name="cmdClear10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12" Type="http://schemas.openxmlformats.org/officeDocument/2006/relationships/comments" Target="../comments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12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12" Type="http://schemas.openxmlformats.org/officeDocument/2006/relationships/comments" Target="../comments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28">
    <pageSetUpPr fitToPage="1"/>
  </sheetPr>
  <dimension ref="A1:AK120"/>
  <sheetViews>
    <sheetView showGridLines="0" tabSelected="1" topLeftCell="A64" zoomScale="70" zoomScaleNormal="70" workbookViewId="0">
      <selection activeCell="AH67" sqref="AH67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10.625" style="4" customWidth="1"/>
    <col min="15" max="25" width="0.625" style="4" customWidth="1"/>
    <col min="26" max="26" width="5.75" style="188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2"/>
      <c r="D1" s="187"/>
      <c r="E1" s="2"/>
      <c r="F1" s="2"/>
      <c r="G1" s="2"/>
      <c r="H1" s="2"/>
      <c r="I1" s="2"/>
      <c r="J1" s="2"/>
      <c r="K1" s="2"/>
      <c r="L1" s="3"/>
      <c r="AA1" s="187" t="s">
        <v>127</v>
      </c>
    </row>
    <row r="2" spans="1:37" x14ac:dyDescent="0.2">
      <c r="A2" s="128" t="s">
        <v>131</v>
      </c>
      <c r="B2" s="2"/>
      <c r="C2" s="2"/>
      <c r="D2" s="187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87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50" t="s">
        <v>1</v>
      </c>
      <c r="B5" s="351"/>
      <c r="C5" s="351"/>
      <c r="D5" s="351"/>
      <c r="E5" s="352"/>
      <c r="F5" s="169" t="s">
        <v>84</v>
      </c>
      <c r="G5" s="169" t="s">
        <v>85</v>
      </c>
      <c r="H5" s="169" t="s">
        <v>86</v>
      </c>
      <c r="I5" s="216" t="s">
        <v>173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2.9" customHeight="1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116</v>
      </c>
      <c r="K7" s="177" t="s">
        <v>117</v>
      </c>
      <c r="L7" s="178" t="s">
        <v>51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 t="shared" ref="M8:M37" si="0">SUM(C8:H8)</f>
        <v>0</v>
      </c>
      <c r="AB8" s="5"/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56" t="s">
        <v>118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">
        <v>120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ref="M18:M27" si="1">SUM(C18:H18)</f>
        <v>0</v>
      </c>
      <c r="AA18" s="33" t="s">
        <v>21</v>
      </c>
      <c r="AB18" s="34"/>
      <c r="AC18" s="29"/>
      <c r="AD18" s="29"/>
      <c r="AE18" s="200" t="e">
        <f>IF($AE$20&lt;4.5,0,ROUND($AE$20/1000*2.54,2))</f>
        <v>#DIV/0!</v>
      </c>
      <c r="AF18" s="201"/>
      <c r="AG18" s="200" t="e">
        <f>IF($AE$20&lt;4.5,0,ROUND($AG$20/1000*2.54,2))</f>
        <v>#DIV/0!</v>
      </c>
      <c r="AH18" s="29" t="s">
        <v>69</v>
      </c>
      <c r="AI18" s="37"/>
      <c r="AJ18" s="34"/>
      <c r="AK18" s="111" t="e">
        <f>IF($AE$20&lt;4.5,0,2)</f>
        <v>#DIV/0!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194"/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1"/>
        <v>0</v>
      </c>
      <c r="AA20" s="33" t="s">
        <v>121</v>
      </c>
      <c r="AB20" s="34"/>
      <c r="AC20" s="29"/>
      <c r="AD20" s="29"/>
      <c r="AE20" s="30" t="e">
        <f>$I$104</f>
        <v>#DIV/0!</v>
      </c>
      <c r="AF20" s="31"/>
      <c r="AG20" s="162" t="e">
        <f>ROUND(($AG$13*AE20)/100,0)</f>
        <v>#DIV/0!</v>
      </c>
      <c r="AH20" s="29" t="s">
        <v>70</v>
      </c>
      <c r="AI20" s="30"/>
      <c r="AJ20" s="34"/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1"/>
        <v>0</v>
      </c>
      <c r="AA21" s="33" t="s">
        <v>23</v>
      </c>
      <c r="AB21" s="40"/>
      <c r="AC21" s="41"/>
      <c r="AD21" s="41"/>
      <c r="AE21" s="42" t="e">
        <f>$C$104</f>
        <v>#DIV/0!</v>
      </c>
      <c r="AF21" s="43"/>
      <c r="AG21" s="42" t="e">
        <f>ROUND(($AG$13*AE21)/100,1)</f>
        <v>#DIV/0!</v>
      </c>
      <c r="AH21" s="41" t="s">
        <v>69</v>
      </c>
      <c r="AI21" s="42"/>
      <c r="AJ21" s="37"/>
    </row>
    <row r="22" spans="1:37" ht="21" x14ac:dyDescent="0.2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1"/>
        <v>0</v>
      </c>
      <c r="AA22" s="33" t="s">
        <v>26</v>
      </c>
      <c r="AB22" s="40"/>
      <c r="AC22" s="41"/>
      <c r="AD22" s="41"/>
      <c r="AE22" s="42" t="e">
        <f>$H$104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si="1"/>
        <v>0</v>
      </c>
      <c r="Z23" s="188" t="e">
        <f>IF(AG23&lt;15,"","＊1")</f>
        <v>#DIV/0!</v>
      </c>
      <c r="AA23" s="33" t="s">
        <v>12</v>
      </c>
      <c r="AB23" s="29"/>
      <c r="AC23" s="29"/>
      <c r="AD23" s="29"/>
      <c r="AE23" s="200" t="e">
        <f>$K$104</f>
        <v>#DIV/0!</v>
      </c>
      <c r="AF23" s="201"/>
      <c r="AG23" s="200" t="e">
        <f>ROUND(($AG$13*AE23)/100,2)</f>
        <v>#DIV/0!</v>
      </c>
      <c r="AH23" s="29" t="s">
        <v>69</v>
      </c>
      <c r="AI23" s="37"/>
      <c r="AJ23" s="34"/>
      <c r="AK23" s="111">
        <v>2</v>
      </c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Z24" s="188" t="e">
        <f>IF(OR(AND(AE24&gt;=0.3,AG24*VALUE(F6)&gt;=0.45),AE24&gt;=0.45,AND(AG13&gt;=100,AG24*VALUE(F6)&gt;=0.45)),"＊2","")</f>
        <v>#DIV/0!</v>
      </c>
      <c r="AA24" s="33" t="s">
        <v>28</v>
      </c>
      <c r="AB24" s="29"/>
      <c r="AC24" s="29"/>
      <c r="AD24" s="29"/>
      <c r="AE24" s="200" t="e">
        <f>$J$104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122</v>
      </c>
      <c r="AB25" s="29"/>
      <c r="AC25" s="29"/>
      <c r="AD25" s="29"/>
      <c r="AE25" s="98" t="e">
        <f>$L$104</f>
        <v>#DIV/0!</v>
      </c>
      <c r="AF25" s="48"/>
      <c r="AG25" s="161" t="e">
        <f>ROUND(($AG$13*AE25)/100,0)</f>
        <v>#DIV/0!</v>
      </c>
      <c r="AH25" s="29" t="s">
        <v>70</v>
      </c>
      <c r="AI25" s="37"/>
      <c r="AJ25" s="34"/>
      <c r="AK25" s="111">
        <v>0</v>
      </c>
    </row>
    <row r="26" spans="1:37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</row>
    <row r="27" spans="1:37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 t="shared" si="0"/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 t="shared" si="0"/>
        <v>0</v>
      </c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 t="shared" si="0"/>
        <v>0</v>
      </c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</row>
    <row r="31" spans="1:37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>SUM(C35:H35)</f>
        <v>0</v>
      </c>
      <c r="O35" s="50"/>
      <c r="P35" s="54"/>
      <c r="Q35" s="52"/>
      <c r="AA35" s="5"/>
      <c r="AB35" s="195"/>
      <c r="AC35" s="349" t="s">
        <v>30</v>
      </c>
      <c r="AD35" s="349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0"/>
        <v>0</v>
      </c>
      <c r="N37" s="50"/>
      <c r="O37" s="50"/>
      <c r="P37" s="54"/>
      <c r="Q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09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N41" s="50"/>
      <c r="O41" s="50"/>
      <c r="P41" s="58"/>
      <c r="Q41" s="52"/>
      <c r="AA41" s="109"/>
      <c r="AB41" s="109"/>
      <c r="AC41" s="109"/>
      <c r="AD41" s="109"/>
      <c r="AE41" s="109"/>
      <c r="AI41" s="66"/>
      <c r="AJ41" s="66"/>
    </row>
    <row r="42" spans="1:36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N42" s="50"/>
      <c r="AA42" s="109"/>
      <c r="AB42" s="109"/>
      <c r="AC42" s="109"/>
      <c r="AD42" s="109"/>
      <c r="AE42" s="109"/>
    </row>
    <row r="43" spans="1:36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2"/>
        <v>0</v>
      </c>
      <c r="N43" s="50"/>
      <c r="AA43" s="50"/>
      <c r="AB43" s="50"/>
      <c r="AC43" s="51"/>
      <c r="AD43" s="52"/>
      <c r="AE43" s="109"/>
    </row>
    <row r="44" spans="1:36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N44" s="50"/>
      <c r="AA44" s="50"/>
      <c r="AB44" s="50"/>
      <c r="AC44" s="54"/>
      <c r="AD44" s="52"/>
      <c r="AE44" s="109"/>
    </row>
    <row r="45" spans="1:36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AA45" s="50"/>
      <c r="AB45" s="50"/>
      <c r="AC45" s="54"/>
      <c r="AD45" s="52"/>
      <c r="AE45" s="109"/>
    </row>
    <row r="46" spans="1:36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AA46" s="50"/>
      <c r="AB46" s="50"/>
      <c r="AC46" s="54"/>
      <c r="AD46" s="52"/>
      <c r="AE46" s="109"/>
    </row>
    <row r="47" spans="1:36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AA47" s="50"/>
      <c r="AB47" s="50"/>
      <c r="AC47" s="58"/>
      <c r="AD47" s="52"/>
      <c r="AE47" s="109"/>
    </row>
    <row r="48" spans="1:36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AA48" s="50"/>
      <c r="AB48" s="50"/>
      <c r="AC48" s="58"/>
      <c r="AD48" s="52"/>
      <c r="AE48" s="109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AA49" s="50"/>
      <c r="AB49" s="50"/>
      <c r="AC49" s="58"/>
      <c r="AD49" s="52"/>
      <c r="AE49" s="10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AA50" s="50"/>
      <c r="AB50" s="50"/>
      <c r="AC50" s="51"/>
      <c r="AD50" s="52"/>
      <c r="AE50" s="109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AA51" s="109"/>
      <c r="AB51" s="109"/>
      <c r="AC51" s="109"/>
      <c r="AD51" s="109"/>
      <c r="AE51" s="109"/>
    </row>
    <row r="52" spans="1:33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124</v>
      </c>
      <c r="AA52" s="100"/>
    </row>
    <row r="53" spans="1:33" x14ac:dyDescent="0.2">
      <c r="A53" s="112" t="str">
        <f>IF(A8="","",A8)</f>
        <v/>
      </c>
      <c r="B53" s="199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N53" s="4" t="str">
        <f>IF(N8="","",N8)</f>
        <v/>
      </c>
      <c r="AA53" s="101"/>
    </row>
    <row r="54" spans="1:33" x14ac:dyDescent="0.2">
      <c r="A54" s="112" t="str">
        <f t="shared" ref="A54:B54" si="3">IF(A9="","",A9)</f>
        <v/>
      </c>
      <c r="B54" s="199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N54" s="4" t="str">
        <f t="shared" ref="N54:N82" si="14">IF(N9="","",N9)</f>
        <v/>
      </c>
      <c r="AA54" s="101"/>
    </row>
    <row r="55" spans="1:33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  <c r="N55" s="4" t="str">
        <f t="shared" si="14"/>
        <v/>
      </c>
    </row>
    <row r="56" spans="1:33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  <c r="N56" s="4" t="str">
        <f t="shared" si="14"/>
        <v/>
      </c>
    </row>
    <row r="57" spans="1:33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  <c r="N57" s="4" t="str">
        <f t="shared" si="14"/>
        <v/>
      </c>
    </row>
    <row r="58" spans="1:33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N58" s="4" t="str">
        <f t="shared" si="14"/>
        <v/>
      </c>
    </row>
    <row r="59" spans="1:33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N59" s="4" t="str">
        <f t="shared" si="14"/>
        <v/>
      </c>
    </row>
    <row r="60" spans="1:33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N60" s="4" t="str">
        <f t="shared" si="14"/>
        <v/>
      </c>
      <c r="AA60" s="100" t="s">
        <v>125</v>
      </c>
    </row>
    <row r="61" spans="1:33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N61" s="4" t="str">
        <f t="shared" si="14"/>
        <v/>
      </c>
      <c r="AA61" s="130" t="s">
        <v>123</v>
      </c>
    </row>
    <row r="62" spans="1:33" ht="18.75" x14ac:dyDescent="0.3">
      <c r="A62" s="112" t="str">
        <f t="shared" ref="A62:B62" si="22">IF(A17="","",A17)</f>
        <v/>
      </c>
      <c r="B62" s="199" t="str">
        <f t="shared" si="22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N62" s="4" t="str">
        <f t="shared" si="14"/>
        <v/>
      </c>
      <c r="AA62" s="101" t="s">
        <v>126</v>
      </c>
      <c r="AC62" s="102"/>
      <c r="AE62" s="102"/>
      <c r="AF62" s="155"/>
      <c r="AG62" s="102"/>
    </row>
    <row r="63" spans="1:33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  <c r="N63" s="4" t="str">
        <f t="shared" si="14"/>
        <v/>
      </c>
    </row>
    <row r="64" spans="1:33" x14ac:dyDescent="0.2">
      <c r="A64" s="112" t="str">
        <f t="shared" ref="A64:B64" si="24">IF(A19="","",A19)</f>
        <v/>
      </c>
      <c r="B64" s="199" t="str">
        <f t="shared" si="24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  <c r="N64" s="4" t="str">
        <f t="shared" si="14"/>
        <v/>
      </c>
    </row>
    <row r="65" spans="1:27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  <c r="N65" s="4" t="str">
        <f t="shared" si="14"/>
        <v/>
      </c>
    </row>
    <row r="66" spans="1:27" x14ac:dyDescent="0.2">
      <c r="A66" s="112" t="str">
        <f t="shared" ref="A66:B66" si="26">IF(A21="","",A21)</f>
        <v/>
      </c>
      <c r="B66" s="199" t="str">
        <f t="shared" si="26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  <c r="N66" s="4" t="str">
        <f t="shared" si="14"/>
        <v/>
      </c>
    </row>
    <row r="67" spans="1:27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  <c r="N67" s="4" t="str">
        <f t="shared" si="14"/>
        <v/>
      </c>
    </row>
    <row r="68" spans="1:27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  <c r="N68" s="4" t="str">
        <f t="shared" si="14"/>
        <v/>
      </c>
    </row>
    <row r="69" spans="1:27" ht="18.75" x14ac:dyDescent="0.3">
      <c r="A69" s="112" t="str">
        <f t="shared" ref="A69:B69" si="29">IF(A24="","",A24)</f>
        <v/>
      </c>
      <c r="B69" s="199" t="str">
        <f t="shared" si="29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N69" s="4" t="str">
        <f t="shared" si="14"/>
        <v/>
      </c>
      <c r="AA69" s="102" t="s">
        <v>46</v>
      </c>
    </row>
    <row r="70" spans="1:27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N70" s="4" t="str">
        <f t="shared" si="14"/>
        <v/>
      </c>
      <c r="AA70" s="103" t="s">
        <v>71</v>
      </c>
    </row>
    <row r="71" spans="1:27" x14ac:dyDescent="0.2">
      <c r="A71" s="112" t="str">
        <f t="shared" ref="A71:B71" si="31">IF(A26="","",A26)</f>
        <v/>
      </c>
      <c r="B71" s="199" t="str">
        <f t="shared" si="31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N71" s="4" t="str">
        <f t="shared" si="14"/>
        <v/>
      </c>
      <c r="AA71" s="103" t="s">
        <v>61</v>
      </c>
    </row>
    <row r="72" spans="1:27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N72" s="4" t="str">
        <f t="shared" si="14"/>
        <v/>
      </c>
      <c r="AA72" s="103" t="s">
        <v>62</v>
      </c>
    </row>
    <row r="73" spans="1:27" x14ac:dyDescent="0.2">
      <c r="A73" s="112" t="str">
        <f t="shared" ref="A73:B73" si="33">IF(A28="","",A28)</f>
        <v/>
      </c>
      <c r="B73" s="199" t="str">
        <f t="shared" si="33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N73" s="4" t="str">
        <f t="shared" si="14"/>
        <v/>
      </c>
      <c r="AA73" s="103" t="s">
        <v>63</v>
      </c>
    </row>
    <row r="74" spans="1:27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N74" s="4" t="str">
        <f t="shared" si="14"/>
        <v/>
      </c>
      <c r="AA74" s="103" t="s">
        <v>64</v>
      </c>
    </row>
    <row r="75" spans="1:27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N75" s="4" t="str">
        <f t="shared" si="14"/>
        <v/>
      </c>
      <c r="AA75" s="49"/>
    </row>
    <row r="76" spans="1:27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  <c r="N76" s="4" t="str">
        <f t="shared" si="14"/>
        <v/>
      </c>
    </row>
    <row r="77" spans="1:27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  <c r="N77" s="4" t="str">
        <f t="shared" si="14"/>
        <v/>
      </c>
    </row>
    <row r="78" spans="1:27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  <c r="N78" s="4" t="str">
        <f t="shared" si="14"/>
        <v/>
      </c>
    </row>
    <row r="79" spans="1:27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  <c r="N79" s="4" t="str">
        <f t="shared" si="14"/>
        <v/>
      </c>
    </row>
    <row r="80" spans="1:27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  <c r="N80" s="4" t="str">
        <f t="shared" si="14"/>
        <v/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  <c r="N81" s="4" t="str">
        <f t="shared" si="14"/>
        <v/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  <c r="N82" s="4" t="str">
        <f t="shared" si="14"/>
        <v/>
      </c>
    </row>
    <row r="83" spans="1:14" x14ac:dyDescent="0.2">
      <c r="A83" s="10" t="s">
        <v>34</v>
      </c>
      <c r="B83" s="67">
        <f t="shared" ref="B83:L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6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  <c r="M86" s="388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88"/>
      <c r="N87" s="325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196"/>
      <c r="K88" s="7"/>
      <c r="L88" s="39"/>
      <c r="M88" s="388"/>
    </row>
    <row r="89" spans="1:14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124</v>
      </c>
      <c r="M89" s="388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  <c r="M90" s="388"/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69">
        <f t="shared" ref="L91:L99" si="54">L41/100*B91</f>
        <v>0</v>
      </c>
      <c r="M91" s="388"/>
    </row>
    <row r="92" spans="1:14" x14ac:dyDescent="0.2">
      <c r="A92" s="112" t="str">
        <f t="shared" ref="A92:B92" si="55">IF(A42="","",A42)</f>
        <v/>
      </c>
      <c r="B92" s="199" t="str">
        <f t="shared" si="55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69">
        <f t="shared" si="54"/>
        <v>0</v>
      </c>
      <c r="M92" s="388"/>
    </row>
    <row r="93" spans="1:14" x14ac:dyDescent="0.2">
      <c r="A93" s="112" t="str">
        <f t="shared" ref="A93:B93" si="56">IF(A43="","",A43)</f>
        <v/>
      </c>
      <c r="B93" s="199" t="str">
        <f t="shared" si="56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69">
        <f t="shared" si="54"/>
        <v>0</v>
      </c>
      <c r="M93" s="388"/>
    </row>
    <row r="94" spans="1:14" x14ac:dyDescent="0.2">
      <c r="A94" s="112" t="str">
        <f t="shared" ref="A94:B94" si="57">IF(A44="","",A44)</f>
        <v/>
      </c>
      <c r="B94" s="199" t="str">
        <f t="shared" si="57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69">
        <f t="shared" si="54"/>
        <v>0</v>
      </c>
      <c r="M94" s="388"/>
    </row>
    <row r="95" spans="1:14" x14ac:dyDescent="0.2">
      <c r="A95" s="112" t="str">
        <f t="shared" ref="A95:B95" si="58">IF(A45="","",A45)</f>
        <v/>
      </c>
      <c r="B95" s="199" t="str">
        <f t="shared" si="58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69">
        <f t="shared" si="54"/>
        <v>0</v>
      </c>
      <c r="M95" s="388"/>
    </row>
    <row r="96" spans="1:14" x14ac:dyDescent="0.2">
      <c r="A96" s="112" t="str">
        <f t="shared" ref="A96:B96" si="59">IF(A46="","",A46)</f>
        <v/>
      </c>
      <c r="B96" s="199" t="str">
        <f t="shared" si="59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69">
        <f t="shared" si="54"/>
        <v>0</v>
      </c>
      <c r="M96" s="388"/>
    </row>
    <row r="97" spans="1:14" x14ac:dyDescent="0.2">
      <c r="A97" s="112" t="str">
        <f t="shared" ref="A97:B97" si="60">IF(A47="","",A47)</f>
        <v/>
      </c>
      <c r="B97" s="199" t="str">
        <f t="shared" si="60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69">
        <f t="shared" si="54"/>
        <v>0</v>
      </c>
      <c r="M97" s="388"/>
    </row>
    <row r="98" spans="1:14" x14ac:dyDescent="0.2">
      <c r="A98" s="112" t="str">
        <f t="shared" ref="A98:B98" si="61">IF(A48="","",A48)</f>
        <v/>
      </c>
      <c r="B98" s="199" t="str">
        <f t="shared" si="61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69">
        <f t="shared" si="54"/>
        <v>0</v>
      </c>
      <c r="M98" s="388"/>
    </row>
    <row r="99" spans="1:14" x14ac:dyDescent="0.2">
      <c r="A99" s="112" t="str">
        <f t="shared" ref="A99:B99" si="62">IF(A49="","",A49)</f>
        <v/>
      </c>
      <c r="B99" s="199" t="str">
        <f t="shared" si="62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69">
        <f t="shared" si="54"/>
        <v>0</v>
      </c>
      <c r="M99" s="388"/>
    </row>
    <row r="100" spans="1:14" x14ac:dyDescent="0.2">
      <c r="A100" s="10" t="s">
        <v>34</v>
      </c>
      <c r="B100" s="67">
        <f t="shared" ref="B100:L100" si="63">SUM(B90:B99)</f>
        <v>100</v>
      </c>
      <c r="C100" s="61" t="e">
        <f t="shared" si="63"/>
        <v>#DIV/0!</v>
      </c>
      <c r="D100" s="61" t="e">
        <f t="shared" si="63"/>
        <v>#DIV/0!</v>
      </c>
      <c r="E100" s="61" t="e">
        <f t="shared" si="63"/>
        <v>#DIV/0!</v>
      </c>
      <c r="F100" s="61" t="e">
        <f t="shared" si="63"/>
        <v>#DIV/0!</v>
      </c>
      <c r="G100" s="61" t="e">
        <f t="shared" si="63"/>
        <v>#DIV/0!</v>
      </c>
      <c r="H100" s="61" t="e">
        <f t="shared" si="63"/>
        <v>#DIV/0!</v>
      </c>
      <c r="I100" s="62" t="e">
        <f t="shared" si="63"/>
        <v>#DIV/0!</v>
      </c>
      <c r="J100" s="62" t="e">
        <f t="shared" si="63"/>
        <v>#DIV/0!</v>
      </c>
      <c r="K100" s="62" t="e">
        <f t="shared" si="63"/>
        <v>#DIV/0!</v>
      </c>
      <c r="L100" s="62" t="e">
        <f t="shared" si="63"/>
        <v>#DIV/0!</v>
      </c>
      <c r="M100" s="388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  <c r="M101" s="38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64">SUM(D90:D99)</f>
        <v>#DIV/0!</v>
      </c>
      <c r="E102" s="61" t="e">
        <f t="shared" si="64"/>
        <v>#DIV/0!</v>
      </c>
      <c r="F102" s="61" t="e">
        <f t="shared" si="64"/>
        <v>#DIV/0!</v>
      </c>
      <c r="G102" s="61" t="e">
        <f t="shared" si="64"/>
        <v>#DIV/0!</v>
      </c>
      <c r="H102" s="61" t="e">
        <f t="shared" si="64"/>
        <v>#DIV/0!</v>
      </c>
      <c r="I102" s="62" t="e">
        <f t="shared" si="64"/>
        <v>#DIV/0!</v>
      </c>
      <c r="J102" s="73" t="e">
        <f t="shared" si="64"/>
        <v>#DIV/0!</v>
      </c>
      <c r="K102" s="73" t="e">
        <f t="shared" si="64"/>
        <v>#DIV/0!</v>
      </c>
      <c r="L102" s="70" t="e">
        <f t="shared" si="64"/>
        <v>#DIV/0!</v>
      </c>
      <c r="M102" s="388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7" t="e">
        <f>ROUND(+L102/B102*100,0)</f>
        <v>#DIV/0!</v>
      </c>
      <c r="M103" s="388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78" t="e">
        <f>F103+100-B103</f>
        <v>#DIV/0!</v>
      </c>
      <c r="G104" s="327" t="e">
        <v>#DIV/0!</v>
      </c>
      <c r="H104" s="327" t="e">
        <v>#DIV/0!</v>
      </c>
      <c r="I104" s="328" t="e">
        <v>#DIV/0!</v>
      </c>
      <c r="J104" s="329" t="e">
        <v>#DIV/0!</v>
      </c>
      <c r="K104" s="329" t="e">
        <v>#DIV/0!</v>
      </c>
      <c r="L104" s="328" t="e">
        <v>#DIV/0!</v>
      </c>
      <c r="M104" s="388"/>
      <c r="N104" s="325"/>
    </row>
    <row r="105" spans="1:14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388"/>
    </row>
    <row r="106" spans="1:14" ht="18.75" thickTop="1" thickBot="1" x14ac:dyDescent="0.25">
      <c r="A106" s="205" t="s">
        <v>128</v>
      </c>
      <c r="B106" s="206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57" t="s">
        <v>178</v>
      </c>
      <c r="I106" s="258">
        <v>115</v>
      </c>
      <c r="J106" s="81"/>
      <c r="K106" s="81"/>
      <c r="L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59" t="s">
        <v>179</v>
      </c>
      <c r="I107" s="260">
        <v>103</v>
      </c>
      <c r="J107" s="2"/>
      <c r="K107" s="2"/>
      <c r="L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261" t="s">
        <v>180</v>
      </c>
      <c r="I108" s="262">
        <v>10.5</v>
      </c>
      <c r="J108" s="2"/>
      <c r="K108" s="2"/>
      <c r="L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AG23</f>
        <v>#DIV/0!</v>
      </c>
      <c r="I113" s="120" t="e">
        <f>IF(AG13&gt;=100,AG24,IF(AE24&lt;0.3,0,AG24))</f>
        <v>#DIV/0!</v>
      </c>
      <c r="J113" s="122" t="e">
        <f>IF(AE25&lt;5,0,AG25)</f>
        <v>#DIV/0!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97" priority="13" stopIfTrue="1">
      <formula>NOT(AG12="1個当たり")</formula>
    </cfRule>
  </conditionalFormatting>
  <conditionalFormatting sqref="AA31:AJ31">
    <cfRule type="expression" dxfId="96" priority="12" stopIfTrue="1">
      <formula>NOT(AA31="この表示値は、目安です。")</formula>
    </cfRule>
  </conditionalFormatting>
  <conditionalFormatting sqref="AG25">
    <cfRule type="expression" dxfId="95" priority="11" stopIfTrue="1">
      <formula>IF(AND(COUNTIF($A$6,"&lt;&gt;*様*"),$AE$25&lt;5),TRUE,FALSE)</formula>
    </cfRule>
  </conditionalFormatting>
  <conditionalFormatting sqref="AG24">
    <cfRule type="expression" dxfId="94" priority="10" stopIfTrue="1">
      <formula>IF(AND(COUNTIF($A$6,"&lt;&gt;*様*"),$AG$13&lt;100,$AE$24&lt;0.3),TRUE,FALSE)</formula>
    </cfRule>
  </conditionalFormatting>
  <conditionalFormatting sqref="AE21">
    <cfRule type="expression" dxfId="93" priority="9" stopIfTrue="1">
      <formula>IF($A$4="蒸し物",IF($AE$21&lt;30,TRUE,FALSE),FALSE)</formula>
    </cfRule>
  </conditionalFormatting>
  <conditionalFormatting sqref="Z23">
    <cfRule type="expression" dxfId="92" priority="8" stopIfTrue="1">
      <formula>COUNTIF($Z$23,"*1")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AA1:AJ1048576">
    <cfRule type="expression" dxfId="90" priority="3" stopIfTrue="1">
      <formula>$A$2="出力なし"</formula>
    </cfRule>
  </conditionalFormatting>
  <conditionalFormatting sqref="Z24">
    <cfRule type="expression" dxfId="89" priority="1">
      <formula>COUNTIF($Z$24,"*2")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autoPict="0" r:id="rId5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152400</xdr:colOff>
                <xdr:row>104</xdr:row>
                <xdr:rowOff>47625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opy104">
          <controlPr defaultSize="0" autoLine="0" autoPict="0" r:id="rId7">
            <anchor moveWithCells="1" sizeWithCells="1">
              <from>
                <xdr:col>13</xdr:col>
                <xdr:colOff>28575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1027" r:id="rId6" name="cmdCopy104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autoPict="0" r:id="rId9">
            <anchor moveWithCells="1" sizeWithCells="1">
              <from>
                <xdr:col>23</xdr:col>
                <xdr:colOff>9525</xdr:colOff>
                <xdr:row>86</xdr:row>
                <xdr:rowOff>0</xdr:rowOff>
              </from>
              <to>
                <xdr:col>26</xdr:col>
                <xdr:colOff>171450</xdr:colOff>
                <xdr:row>87</xdr:row>
                <xdr:rowOff>76200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autoPict="0" r:id="rId11">
            <anchor moveWithCells="1" sizeWithCells="1">
              <from>
                <xdr:col>13</xdr:col>
                <xdr:colOff>28575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1025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9">
    <pageSetUpPr fitToPage="1"/>
  </sheetPr>
  <dimension ref="A1:AK120"/>
  <sheetViews>
    <sheetView showGridLines="0" topLeftCell="A70" zoomScale="70" zoomScaleNormal="70" workbookViewId="0">
      <selection activeCell="M86" sqref="M86:M105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216" t="s">
        <v>177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8" t="s">
        <v>42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>SUM(C8:H8)</f>
        <v>0</v>
      </c>
      <c r="AB8" s="5" t="s">
        <v>76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AA18" s="212" t="s">
        <v>129</v>
      </c>
      <c r="AB18" s="34"/>
      <c r="AC18" s="29"/>
      <c r="AD18" s="29"/>
      <c r="AE18" s="210" t="e">
        <f>$F$104</f>
        <v>#DIV/0!</v>
      </c>
      <c r="AF18" s="201"/>
      <c r="AG18" s="210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213" t="s">
        <v>130</v>
      </c>
      <c r="AB19" s="34"/>
      <c r="AC19" s="95"/>
      <c r="AD19" s="29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21</v>
      </c>
      <c r="AB20" s="34"/>
      <c r="AC20" s="29"/>
      <c r="AD20" s="29"/>
      <c r="AE20" s="200" t="e">
        <f>IF($AE$22&lt;4.5,0,ROUND($AE$22/1000*2.54,2))</f>
        <v>#DIV/0!</v>
      </c>
      <c r="AF20" s="31"/>
      <c r="AG20" s="200" t="e">
        <f>IF($AE$22&lt;4.5,0,ROUND($AG$22/1000*2.54,2))</f>
        <v>#DIV/0!</v>
      </c>
      <c r="AH20" s="29" t="s">
        <v>69</v>
      </c>
      <c r="AI20" s="30"/>
      <c r="AJ20" s="34"/>
      <c r="AK20" s="111" t="e">
        <f>IF($AE$22&lt;4.5,0,2)</f>
        <v>#DIV/0!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30" t="e">
        <f>ROUND(($AG$13*AE22)/100,0)</f>
        <v>#DIV/0!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2"/>
      <c r="AG23" s="44" t="e">
        <f>ROUND(($AG$13*AE23)/100,1)</f>
        <v>#DIV/0!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2"/>
      <c r="AG24" s="44" t="e">
        <f>ROUND(($AG$13*AE24)/100,1)</f>
        <v>#DIV/0!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Z25" s="4" t="e">
        <f>IF(AG25&lt;15,"","＊1")</f>
        <v>#DIV/0!</v>
      </c>
      <c r="AA25" s="33" t="s">
        <v>12</v>
      </c>
      <c r="AB25" s="29"/>
      <c r="AC25" s="29"/>
      <c r="AD25" s="29"/>
      <c r="AE25" s="200" t="e">
        <f>$K$104</f>
        <v>#DIV/0!</v>
      </c>
      <c r="AF25" s="47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Z26" s="188" t="e">
        <f>IF(OR(AND(AE26&gt;=0.3,AG26*VALUE(F6)&gt;=0.45),AE26&gt;=0.45,AND(AG13&gt;=100,AG26*VALUE(F6)&gt;=0.45)),"＊2","")</f>
        <v>#DIV/0!</v>
      </c>
      <c r="AA26" s="33" t="s">
        <v>28</v>
      </c>
      <c r="AB26" s="29"/>
      <c r="AC26" s="29"/>
      <c r="AD26" s="29"/>
      <c r="AE26" s="200" t="e">
        <f>$J$104</f>
        <v>#DIV/0!</v>
      </c>
      <c r="AF26" s="48"/>
      <c r="AG26" s="200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30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360" t="s">
        <v>78</v>
      </c>
      <c r="AB31" s="360"/>
      <c r="AC31" s="360"/>
      <c r="AD31" s="360"/>
      <c r="AE31" s="360"/>
      <c r="AF31" s="360"/>
      <c r="AG31" s="360"/>
      <c r="AH31" s="360"/>
      <c r="AI31" s="360"/>
      <c r="AJ31" s="360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109"/>
      <c r="AA42" s="110"/>
      <c r="AB42" s="109"/>
      <c r="AC42" s="109"/>
      <c r="AD42" s="109"/>
      <c r="AE42" s="109"/>
    </row>
    <row r="43" spans="1:37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2"/>
        <v>0</v>
      </c>
      <c r="Y43" s="109"/>
      <c r="Z43" s="109"/>
      <c r="AA43" s="109"/>
      <c r="AB43" s="109"/>
      <c r="AC43" s="109"/>
      <c r="AD43" s="109"/>
      <c r="AE43" s="109"/>
    </row>
    <row r="44" spans="1:37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109"/>
      <c r="AA44" s="109"/>
      <c r="AB44" s="109"/>
      <c r="AC44" s="109"/>
      <c r="AD44" s="109"/>
      <c r="AE44" s="109"/>
    </row>
    <row r="45" spans="1:37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109"/>
      <c r="AA45" s="50"/>
      <c r="AB45" s="50"/>
      <c r="AC45" s="51"/>
      <c r="AD45" s="52"/>
      <c r="AE45" s="109"/>
    </row>
    <row r="46" spans="1:37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109"/>
      <c r="AA46" s="50"/>
      <c r="AB46" s="50"/>
      <c r="AC46" s="54"/>
      <c r="AD46" s="52"/>
      <c r="AE46" s="109"/>
    </row>
    <row r="47" spans="1:37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109"/>
      <c r="AA47" s="50"/>
      <c r="AB47" s="50"/>
      <c r="AC47" s="54"/>
      <c r="AD47" s="52"/>
      <c r="AE47" s="109"/>
    </row>
    <row r="48" spans="1:37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109"/>
      <c r="AA48" s="50"/>
      <c r="AB48" s="50"/>
      <c r="AC48" s="54"/>
      <c r="AD48" s="52"/>
      <c r="AE48" s="109"/>
    </row>
    <row r="49" spans="1:31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109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9"/>
      <c r="Z50" s="109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9"/>
      <c r="Z51" s="109"/>
      <c r="AA51" s="50"/>
      <c r="AB51" s="50"/>
      <c r="AC51" s="58"/>
      <c r="AD51" s="52"/>
      <c r="AE51" s="109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9"/>
      <c r="Z52" s="109"/>
      <c r="AA52" s="50"/>
      <c r="AB52" s="50"/>
      <c r="AC52" s="51"/>
      <c r="AD52" s="52"/>
      <c r="AE52" s="109"/>
    </row>
    <row r="53" spans="1:31" x14ac:dyDescent="0.2">
      <c r="A53" s="112" t="str">
        <f>IF(A8="","",A8)</f>
        <v/>
      </c>
      <c r="B53" s="199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09"/>
      <c r="Z53" s="109"/>
      <c r="AA53" s="109"/>
      <c r="AB53" s="109"/>
      <c r="AC53" s="109"/>
      <c r="AD53" s="109"/>
      <c r="AE53" s="109"/>
    </row>
    <row r="54" spans="1:31" x14ac:dyDescent="0.2">
      <c r="A54" s="112" t="str">
        <f t="shared" ref="A54:B54" si="3">IF(A9="","",A9)</f>
        <v/>
      </c>
      <c r="B54" s="199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09"/>
      <c r="Z54" s="109"/>
      <c r="AA54" s="109"/>
      <c r="AB54" s="109"/>
      <c r="AC54" s="109"/>
      <c r="AD54" s="109"/>
      <c r="AE54" s="109"/>
    </row>
    <row r="55" spans="1:31" x14ac:dyDescent="0.2">
      <c r="A55" s="112" t="str">
        <f t="shared" ref="A55:B55" si="14">IF(A10="","",A10)</f>
        <v/>
      </c>
      <c r="B55" s="199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2" t="str">
        <f t="shared" ref="A56:B56" si="15">IF(A11="","",A11)</f>
        <v/>
      </c>
      <c r="B56" s="199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2" t="str">
        <f t="shared" ref="A57:B57" si="16">IF(A12="","",A12)</f>
        <v/>
      </c>
      <c r="B57" s="199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2" t="str">
        <f t="shared" ref="A58:B58" si="17">IF(A13="","",A13)</f>
        <v/>
      </c>
      <c r="B58" s="199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6"/>
    </row>
    <row r="59" spans="1:31" x14ac:dyDescent="0.2">
      <c r="A59" s="112" t="str">
        <f t="shared" ref="A59:B59" si="18">IF(A14="","",A14)</f>
        <v/>
      </c>
      <c r="B59" s="199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2" t="str">
        <f t="shared" ref="A60:B60" si="19">IF(A15="","",A15)</f>
        <v/>
      </c>
      <c r="B60" s="199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45</v>
      </c>
    </row>
    <row r="61" spans="1:31" x14ac:dyDescent="0.2">
      <c r="A61" s="112" t="str">
        <f t="shared" ref="A61:B61" si="20">IF(A16="","",A16)</f>
        <v/>
      </c>
      <c r="B61" s="199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55</v>
      </c>
    </row>
    <row r="62" spans="1:31" x14ac:dyDescent="0.2">
      <c r="A62" s="112" t="str">
        <f t="shared" ref="A62:B62" si="21">IF(A17="","",A17)</f>
        <v/>
      </c>
      <c r="B62" s="199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56</v>
      </c>
    </row>
    <row r="63" spans="1:31" x14ac:dyDescent="0.2">
      <c r="A63" s="112" t="str">
        <f t="shared" ref="A63:B63" si="22">IF(A18="","",A18)</f>
        <v/>
      </c>
      <c r="B63" s="199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2" t="str">
        <f t="shared" ref="A64:B64" si="23">IF(A19="","",A19)</f>
        <v/>
      </c>
      <c r="B64" s="199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ref="A65:B65" si="24">IF(A20="","",A20)</f>
        <v/>
      </c>
      <c r="B65" s="199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ref="A66:B66" si="25">IF(A21="","",A21)</f>
        <v/>
      </c>
      <c r="B66" s="199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ref="A67:B67" si="26">IF(A22="","",A22)</f>
        <v/>
      </c>
      <c r="B67" s="199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ref="A68:B68" si="27">IF(A23="","",A23)</f>
        <v/>
      </c>
      <c r="B68" s="199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ref="A69:B69" si="28">IF(A24="","",A24)</f>
        <v/>
      </c>
      <c r="B69" s="199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70" si="29">IF(A25="","",A25)</f>
        <v/>
      </c>
      <c r="B70" s="199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ref="A71:B71" si="30">IF(A26="","",A26)</f>
        <v/>
      </c>
      <c r="B71" s="199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ref="A72:B72" si="31">IF(A27="","",A27)</f>
        <v/>
      </c>
      <c r="B72" s="199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ref="A73:B73" si="32">IF(A28="","",A28)</f>
        <v/>
      </c>
      <c r="B73" s="199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ref="A74:B74" si="33">IF(A29="","",A29)</f>
        <v/>
      </c>
      <c r="B74" s="199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ref="A75:B75" si="34">IF(A30="","",A30)</f>
        <v/>
      </c>
      <c r="B75" s="199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2" t="str">
        <f t="shared" ref="A76:B76" si="35">IF(A31="","",A31)</f>
        <v/>
      </c>
      <c r="B76" s="199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ref="A77:B77" si="36">IF(A32="","",A32)</f>
        <v/>
      </c>
      <c r="B77" s="199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ref="A78:B78" si="37">IF(A33="","",A33)</f>
        <v/>
      </c>
      <c r="B78" s="199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ref="A79:B79" si="38">IF(A34="","",A34)</f>
        <v/>
      </c>
      <c r="B79" s="199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ref="A80:B80" si="39">IF(A35="","",A35)</f>
        <v/>
      </c>
      <c r="B80" s="199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4" x14ac:dyDescent="0.2">
      <c r="A81" s="112" t="str">
        <f t="shared" ref="A81:B81" si="40">IF(A36="","",A36)</f>
        <v/>
      </c>
      <c r="B81" s="199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4" x14ac:dyDescent="0.2">
      <c r="A82" s="112" t="str">
        <f t="shared" ref="A82" si="41">IF(A37="","",A37)</f>
        <v/>
      </c>
      <c r="B82" s="199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4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  <c r="M86" s="388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99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88"/>
      <c r="N87" s="325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388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  <c r="M89" s="388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  <c r="M90" s="388"/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  <c r="M91" s="388"/>
    </row>
    <row r="92" spans="1:14" x14ac:dyDescent="0.2">
      <c r="A92" s="112" t="str">
        <f t="shared" ref="A92:B92" si="54">IF(A42="","",A42)</f>
        <v/>
      </c>
      <c r="B92" s="199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  <c r="M92" s="388"/>
    </row>
    <row r="93" spans="1:14" x14ac:dyDescent="0.2">
      <c r="A93" s="112" t="str">
        <f t="shared" ref="A93:B93" si="55">IF(A43="","",A43)</f>
        <v/>
      </c>
      <c r="B93" s="199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  <c r="M93" s="388"/>
    </row>
    <row r="94" spans="1:14" x14ac:dyDescent="0.2">
      <c r="A94" s="112" t="str">
        <f t="shared" ref="A94:B94" si="56">IF(A44="","",A44)</f>
        <v/>
      </c>
      <c r="B94" s="199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  <c r="M94" s="388"/>
    </row>
    <row r="95" spans="1:14" x14ac:dyDescent="0.2">
      <c r="A95" s="112" t="str">
        <f t="shared" ref="A95:B95" si="57">IF(A45="","",A45)</f>
        <v/>
      </c>
      <c r="B95" s="199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  <c r="M95" s="388"/>
    </row>
    <row r="96" spans="1:14" x14ac:dyDescent="0.2">
      <c r="A96" s="112" t="str">
        <f t="shared" ref="A96:B96" si="58">IF(A46="","",A46)</f>
        <v/>
      </c>
      <c r="B96" s="199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  <c r="M96" s="388"/>
    </row>
    <row r="97" spans="1:14" x14ac:dyDescent="0.2">
      <c r="A97" s="112" t="str">
        <f t="shared" ref="A97:B97" si="59">IF(A47="","",A47)</f>
        <v/>
      </c>
      <c r="B97" s="199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  <c r="M97" s="388"/>
    </row>
    <row r="98" spans="1:14" x14ac:dyDescent="0.2">
      <c r="A98" s="112" t="str">
        <f t="shared" ref="A98:B98" si="60">IF(A48="","",A48)</f>
        <v/>
      </c>
      <c r="B98" s="199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  <c r="M98" s="388"/>
    </row>
    <row r="99" spans="1:14" x14ac:dyDescent="0.2">
      <c r="A99" s="112" t="str">
        <f t="shared" ref="A99:B99" si="61">IF(A49="","",A49)</f>
        <v/>
      </c>
      <c r="B99" s="199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  <c r="M99" s="388"/>
    </row>
    <row r="100" spans="1:14" x14ac:dyDescent="0.2">
      <c r="A100" s="10" t="s">
        <v>34</v>
      </c>
      <c r="B100" s="67">
        <f t="shared" ref="B100:L100" si="62">SUM(B90:B99)</f>
        <v>100</v>
      </c>
      <c r="C100" s="61" t="e">
        <f>SUM(C90:C99)</f>
        <v>#DIV/0!</v>
      </c>
      <c r="D100" s="61" t="e">
        <f t="shared" si="62"/>
        <v>#DIV/0!</v>
      </c>
      <c r="E100" s="61" t="e">
        <f t="shared" si="62"/>
        <v>#DIV/0!</v>
      </c>
      <c r="F100" s="61" t="e">
        <f t="shared" si="62"/>
        <v>#DIV/0!</v>
      </c>
      <c r="G100" s="61" t="e">
        <f t="shared" si="62"/>
        <v>#DIV/0!</v>
      </c>
      <c r="H100" s="61" t="e">
        <f t="shared" si="62"/>
        <v>#DIV/0!</v>
      </c>
      <c r="I100" s="62" t="e">
        <f t="shared" si="62"/>
        <v>#DIV/0!</v>
      </c>
      <c r="J100" s="62" t="e">
        <f t="shared" si="62"/>
        <v>#DIV/0!</v>
      </c>
      <c r="K100" s="62" t="e">
        <f t="shared" si="62"/>
        <v>#DIV/0!</v>
      </c>
      <c r="L100" s="62" t="e">
        <f t="shared" si="62"/>
        <v>#DIV/0!</v>
      </c>
      <c r="M100" s="388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  <c r="M101" s="38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63">SUM(D90:D99)</f>
        <v>#DIV/0!</v>
      </c>
      <c r="E102" s="61" t="e">
        <f t="shared" si="63"/>
        <v>#DIV/0!</v>
      </c>
      <c r="F102" s="61" t="e">
        <f t="shared" si="63"/>
        <v>#DIV/0!</v>
      </c>
      <c r="G102" s="61" t="e">
        <f t="shared" si="63"/>
        <v>#DIV/0!</v>
      </c>
      <c r="H102" s="61" t="e">
        <f t="shared" si="63"/>
        <v>#DIV/0!</v>
      </c>
      <c r="I102" s="62" t="e">
        <f t="shared" si="63"/>
        <v>#DIV/0!</v>
      </c>
      <c r="J102" s="73" t="e">
        <f t="shared" si="63"/>
        <v>#DIV/0!</v>
      </c>
      <c r="K102" s="73" t="e">
        <f t="shared" si="63"/>
        <v>#DIV/0!</v>
      </c>
      <c r="L102" s="70" t="e">
        <f t="shared" si="63"/>
        <v>#DIV/0!</v>
      </c>
      <c r="M102" s="388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07" t="e">
        <f>ROUND(+L102/B102*100,0)</f>
        <v>#DIV/0!</v>
      </c>
      <c r="M103" s="388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78" t="e">
        <f>F103+100-B103</f>
        <v>#DIV/0!</v>
      </c>
      <c r="G104" s="327" t="e">
        <v>#DIV/0!</v>
      </c>
      <c r="H104" s="327" t="e">
        <v>#DIV/0!</v>
      </c>
      <c r="I104" s="330" t="e">
        <v>#DIV/0!</v>
      </c>
      <c r="J104" s="329" t="e">
        <v>#DIV/0!</v>
      </c>
      <c r="K104" s="329" t="e">
        <v>#DIV/0!</v>
      </c>
      <c r="L104" s="330" t="e">
        <v>#DIV/0!</v>
      </c>
      <c r="M104" s="388"/>
      <c r="N104" s="325"/>
    </row>
    <row r="105" spans="1:14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388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17" t="s">
        <v>178</v>
      </c>
      <c r="I106" s="318">
        <v>115</v>
      </c>
      <c r="J106" s="81"/>
      <c r="K106" s="81"/>
      <c r="L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19" t="s">
        <v>179</v>
      </c>
      <c r="I107" s="320">
        <v>103</v>
      </c>
      <c r="J107" s="2"/>
      <c r="K107" s="2"/>
      <c r="L107" s="3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21" t="s">
        <v>180</v>
      </c>
      <c r="I108" s="322">
        <v>10.5</v>
      </c>
      <c r="J108" s="2"/>
      <c r="K108" s="2"/>
      <c r="L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4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8" priority="10" stopIfTrue="1">
      <formula>$A$2="出力なし"</formula>
    </cfRule>
  </conditionalFormatting>
  <conditionalFormatting sqref="AA31:AJ31">
    <cfRule type="expression" dxfId="87" priority="18" stopIfTrue="1">
      <formula>NOT(AA31="この表示値は、目安です。")</formula>
    </cfRule>
  </conditionalFormatting>
  <conditionalFormatting sqref="AG12:AI12">
    <cfRule type="expression" dxfId="86" priority="16" stopIfTrue="1">
      <formula>NOT(AG12="1個当たり")</formula>
    </cfRule>
  </conditionalFormatting>
  <conditionalFormatting sqref="AG27">
    <cfRule type="expression" dxfId="85" priority="15" stopIfTrue="1">
      <formula>IF(AND(COUNTIF($A$6,"&lt;&gt;*様*"),$AE$27&lt;5),TRUE,FALSE)</formula>
    </cfRule>
  </conditionalFormatting>
  <conditionalFormatting sqref="AG26">
    <cfRule type="expression" dxfId="84" priority="14" stopIfTrue="1">
      <formula>IF(AND(COUNTIF($A$6,"&lt;&gt;*様*"),$AG$13&lt;100,$AE$26&lt;0.3),TRUE,FALSE)</formula>
    </cfRule>
  </conditionalFormatting>
  <conditionalFormatting sqref="AE23">
    <cfRule type="expression" dxfId="83" priority="13" stopIfTrue="1">
      <formula>IF($A$4="蒸し物",IF($AE$23&lt;30,TRUE,FALSE),FALSE)</formula>
    </cfRule>
  </conditionalFormatting>
  <conditionalFormatting sqref="Z25">
    <cfRule type="expression" dxfId="82" priority="9" stopIfTrue="1">
      <formula>COUNTIF($Z$25,"*1")</formula>
    </cfRule>
  </conditionalFormatting>
  <conditionalFormatting sqref="AG12:AI12">
    <cfRule type="expression" dxfId="81" priority="2" stopIfTrue="1">
      <formula>NOT(AG12="1個当たり")</formula>
    </cfRule>
  </conditionalFormatting>
  <conditionalFormatting sqref="Z26">
    <cfRule type="expression" dxfId="80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76200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390525</xdr:colOff>
                <xdr:row>87</xdr:row>
                <xdr:rowOff>76200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76200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30">
    <pageSetUpPr fitToPage="1"/>
  </sheetPr>
  <dimension ref="A1:AO120"/>
  <sheetViews>
    <sheetView showGridLines="0" topLeftCell="A61" zoomScale="70" zoomScaleNormal="70" workbookViewId="0">
      <selection activeCell="N86" sqref="N86:N105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216" t="s">
        <v>176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80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83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B9" s="5" t="s">
        <v>168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00" t="e">
        <f>IF($AE$21&lt;4.5,0,ROUND($AE$21/1000*2.54,2))</f>
        <v>#DIV/0!</v>
      </c>
      <c r="AF18" s="201"/>
      <c r="AG18" s="200" t="e">
        <f>IF($AE$21&lt;4.5,0,ROUND($AG$21/1000*2.54,2))</f>
        <v>#DIV/0!</v>
      </c>
      <c r="AH18" s="29" t="s">
        <v>69</v>
      </c>
      <c r="AI18" s="37"/>
      <c r="AJ18" s="34"/>
      <c r="AK18" s="111" t="e">
        <f>IF($AE$21&lt;4.5,0,2)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カルシウム</v>
      </c>
      <c r="AB19" s="34"/>
      <c r="AC19" s="180"/>
      <c r="AD19" s="29"/>
      <c r="AE19" s="30" t="e">
        <f>$M$104</f>
        <v>#DIV/0!</v>
      </c>
      <c r="AF19" s="31"/>
      <c r="AG19" s="161" t="e">
        <f>ROUNDDOWN(($AG$13*AE19)/100,0)</f>
        <v>#DIV/0!</v>
      </c>
      <c r="AH19" s="180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IF(AG24&lt;15,"","＊1")</f>
        <v>#DIV/0!</v>
      </c>
      <c r="AA24" s="33" t="s">
        <v>12</v>
      </c>
      <c r="AB24" s="29"/>
      <c r="AC24" s="29"/>
      <c r="AD24" s="29"/>
      <c r="AE24" s="200" t="e">
        <f>$K$104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IF(OR(AND(AE25&gt;=0.3,AG25*VALUE(F6)&gt;=0.45),AE25&gt;=0.45,AND(AG13&gt;=100,AG25*VALUE(F6)&gt;=0.45)),"＊2","")</f>
        <v>#DIV/0!</v>
      </c>
      <c r="AA25" s="33" t="s">
        <v>28</v>
      </c>
      <c r="AB25" s="29"/>
      <c r="AC25" s="29"/>
      <c r="AD25" s="29"/>
      <c r="AE25" s="200" t="e">
        <f>$J$104</f>
        <v>#DIV/0!</v>
      </c>
      <c r="AF25" s="48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カルシウム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54" si="13">IF(A9="","",A9)</f>
        <v/>
      </c>
      <c r="B54" s="199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ref="A55:B55" si="14">IF(A10="","",A10)</f>
        <v/>
      </c>
      <c r="B55" s="199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ref="A56:B56" si="15">IF(A11="","",A11)</f>
        <v/>
      </c>
      <c r="B56" s="199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ref="A57:B57" si="16">IF(A12="","",A12)</f>
        <v/>
      </c>
      <c r="B57" s="199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ref="A58:B58" si="17">IF(A13="","",A13)</f>
        <v/>
      </c>
      <c r="B58" s="199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ref="A59:B59" si="18">IF(A14="","",A14)</f>
        <v/>
      </c>
      <c r="B59" s="199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ref="A60:B60" si="19">IF(A15="","",A15)</f>
        <v/>
      </c>
      <c r="B60" s="199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ref="A61:B61" si="20">IF(A16="","",A16)</f>
        <v/>
      </c>
      <c r="B61" s="199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ref="A62:B62" si="21">IF(A17="","",A17)</f>
        <v/>
      </c>
      <c r="B62" s="199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ref="A63:B63" si="22">IF(A18="","",A18)</f>
        <v/>
      </c>
      <c r="B63" s="199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ref="A64:B64" si="23">IF(A19="","",A19)</f>
        <v/>
      </c>
      <c r="B64" s="199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4">IF(A20="","",A20)</f>
        <v/>
      </c>
      <c r="B65" s="199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ref="A66:B66" si="25">IF(A21="","",A21)</f>
        <v/>
      </c>
      <c r="B66" s="199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ref="A67:B67" si="26">IF(A22="","",A22)</f>
        <v/>
      </c>
      <c r="B67" s="199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ref="A68:B68" si="27">IF(A23="","",A23)</f>
        <v/>
      </c>
      <c r="B68" s="199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ref="A69:B69" si="28">IF(A24="","",A24)</f>
        <v/>
      </c>
      <c r="B69" s="199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70" si="29">IF(A25="","",A25)</f>
        <v/>
      </c>
      <c r="B70" s="199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ref="A71:B71" si="30">IF(A26="","",A26)</f>
        <v/>
      </c>
      <c r="B71" s="199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ref="A72:B72" si="31">IF(A27="","",A27)</f>
        <v/>
      </c>
      <c r="B72" s="199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ref="A73:B73" si="32">IF(A28="","",A28)</f>
        <v/>
      </c>
      <c r="B73" s="199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ref="A74:B74" si="33">IF(A29="","",A29)</f>
        <v/>
      </c>
      <c r="B74" s="199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ref="A75:B75" si="34">IF(A30="","",A30)</f>
        <v/>
      </c>
      <c r="B75" s="199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ref="A76:B76" si="35">IF(A31="","",A31)</f>
        <v/>
      </c>
      <c r="B76" s="199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ref="A77:B77" si="36">IF(A32="","",A32)</f>
        <v/>
      </c>
      <c r="B77" s="199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ref="A78:B78" si="37">IF(A33="","",A33)</f>
        <v/>
      </c>
      <c r="B78" s="199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ref="A79:B79" si="38">IF(A34="","",A34)</f>
        <v/>
      </c>
      <c r="B79" s="199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ref="A80:B80" si="39">IF(A35="","",A35)</f>
        <v/>
      </c>
      <c r="B80" s="199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4" x14ac:dyDescent="0.2">
      <c r="A81" s="112" t="str">
        <f t="shared" ref="A81:B81" si="40">IF(A36="","",A36)</f>
        <v/>
      </c>
      <c r="B81" s="199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4" x14ac:dyDescent="0.2">
      <c r="A82" s="112" t="str">
        <f t="shared" ref="A82" si="41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4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3">
        <f t="shared" si="42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2">
        <f t="shared" si="43"/>
        <v>0</v>
      </c>
      <c r="K85" s="152">
        <f t="shared" si="43"/>
        <v>0</v>
      </c>
      <c r="L85" s="151">
        <f t="shared" si="43"/>
        <v>0</v>
      </c>
      <c r="M85" s="150">
        <f t="shared" si="43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388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31" t="e">
        <v>#DIV/0!</v>
      </c>
      <c r="N87" s="38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88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カルシウム</v>
      </c>
      <c r="N89" s="388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388"/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5">
        <f t="shared" ref="L91:L99" si="53">L41/100*A91</f>
        <v>0</v>
      </c>
      <c r="M91" s="144">
        <f>M41/100*B91</f>
        <v>0</v>
      </c>
      <c r="N91" s="388"/>
    </row>
    <row r="92" spans="1:14" x14ac:dyDescent="0.2">
      <c r="A92" s="112" t="str">
        <f t="shared" ref="A92:B92" si="54">IF(A42="","",A42)</f>
        <v/>
      </c>
      <c r="B92" s="199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5">
        <f t="shared" si="53"/>
        <v>0</v>
      </c>
      <c r="M92" s="144">
        <f>M42/100*B92</f>
        <v>0</v>
      </c>
      <c r="N92" s="388"/>
    </row>
    <row r="93" spans="1:14" x14ac:dyDescent="0.2">
      <c r="A93" s="112" t="str">
        <f t="shared" ref="A93:B93" si="55">IF(A43="","",A43)</f>
        <v/>
      </c>
      <c r="B93" s="199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5">
        <f t="shared" si="53"/>
        <v>0</v>
      </c>
      <c r="M93" s="144">
        <f t="shared" ref="M93:M99" si="56">M43/100*A93</f>
        <v>0</v>
      </c>
      <c r="N93" s="388"/>
    </row>
    <row r="94" spans="1:14" x14ac:dyDescent="0.2">
      <c r="A94" s="112" t="str">
        <f t="shared" ref="A94:B94" si="57">IF(A44="","",A44)</f>
        <v/>
      </c>
      <c r="B94" s="199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5">
        <f t="shared" si="53"/>
        <v>0</v>
      </c>
      <c r="M94" s="144">
        <f t="shared" si="56"/>
        <v>0</v>
      </c>
      <c r="N94" s="388"/>
    </row>
    <row r="95" spans="1:14" x14ac:dyDescent="0.2">
      <c r="A95" s="112" t="str">
        <f t="shared" ref="A95:B95" si="58">IF(A45="","",A45)</f>
        <v/>
      </c>
      <c r="B95" s="199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5">
        <f t="shared" si="53"/>
        <v>0</v>
      </c>
      <c r="M95" s="144">
        <f t="shared" si="56"/>
        <v>0</v>
      </c>
      <c r="N95" s="388"/>
    </row>
    <row r="96" spans="1:14" x14ac:dyDescent="0.2">
      <c r="A96" s="112" t="str">
        <f t="shared" ref="A96:B96" si="59">IF(A46="","",A46)</f>
        <v/>
      </c>
      <c r="B96" s="199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5">
        <f t="shared" si="53"/>
        <v>0</v>
      </c>
      <c r="M96" s="144">
        <f t="shared" si="56"/>
        <v>0</v>
      </c>
      <c r="N96" s="388"/>
    </row>
    <row r="97" spans="1:14" x14ac:dyDescent="0.2">
      <c r="A97" s="112" t="str">
        <f t="shared" ref="A97:B97" si="60">IF(A47="","",A47)</f>
        <v/>
      </c>
      <c r="B97" s="199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5">
        <f t="shared" si="53"/>
        <v>0</v>
      </c>
      <c r="M97" s="144">
        <f t="shared" si="56"/>
        <v>0</v>
      </c>
      <c r="N97" s="388"/>
    </row>
    <row r="98" spans="1:14" x14ac:dyDescent="0.2">
      <c r="A98" s="112" t="str">
        <f t="shared" ref="A98:B98" si="61">IF(A48="","",A48)</f>
        <v/>
      </c>
      <c r="B98" s="199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5">
        <f t="shared" si="53"/>
        <v>0</v>
      </c>
      <c r="M98" s="144">
        <f t="shared" si="56"/>
        <v>0</v>
      </c>
      <c r="N98" s="388"/>
    </row>
    <row r="99" spans="1:14" x14ac:dyDescent="0.2">
      <c r="A99" s="112" t="str">
        <f t="shared" ref="A99:B99" si="62">IF(A49="","",A49)</f>
        <v/>
      </c>
      <c r="B99" s="199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5">
        <f t="shared" si="53"/>
        <v>0</v>
      </c>
      <c r="M99" s="144">
        <f t="shared" si="56"/>
        <v>0</v>
      </c>
      <c r="N99" s="388"/>
    </row>
    <row r="100" spans="1:14" x14ac:dyDescent="0.2">
      <c r="A100" s="10" t="s">
        <v>34</v>
      </c>
      <c r="B100" s="67">
        <f t="shared" ref="B100:M100" si="63">SUM(B90:B99)</f>
        <v>100</v>
      </c>
      <c r="C100" s="61" t="e">
        <f t="shared" si="63"/>
        <v>#DIV/0!</v>
      </c>
      <c r="D100" s="61" t="e">
        <f t="shared" si="63"/>
        <v>#DIV/0!</v>
      </c>
      <c r="E100" s="61" t="e">
        <f t="shared" si="63"/>
        <v>#DIV/0!</v>
      </c>
      <c r="F100" s="61" t="e">
        <f t="shared" si="63"/>
        <v>#DIV/0!</v>
      </c>
      <c r="G100" s="61" t="e">
        <f t="shared" si="63"/>
        <v>#DIV/0!</v>
      </c>
      <c r="H100" s="61" t="e">
        <f t="shared" si="63"/>
        <v>#DIV/0!</v>
      </c>
      <c r="I100" s="62" t="e">
        <f t="shared" si="63"/>
        <v>#DIV/0!</v>
      </c>
      <c r="J100" s="62" t="e">
        <f t="shared" si="63"/>
        <v>#DIV/0!</v>
      </c>
      <c r="K100" s="62" t="e">
        <f t="shared" si="63"/>
        <v>#DIV/0!</v>
      </c>
      <c r="L100" s="61" t="e">
        <f t="shared" si="63"/>
        <v>#DIV/0!</v>
      </c>
      <c r="M100" s="143" t="e">
        <f t="shared" si="63"/>
        <v>#DIV/0!</v>
      </c>
      <c r="N100" s="388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38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64">SUM(D90:D99)</f>
        <v>#DIV/0!</v>
      </c>
      <c r="E102" s="61" t="e">
        <f t="shared" si="64"/>
        <v>#DIV/0!</v>
      </c>
      <c r="F102" s="61" t="e">
        <f t="shared" si="64"/>
        <v>#DIV/0!</v>
      </c>
      <c r="G102" s="61" t="e">
        <f t="shared" si="64"/>
        <v>#DIV/0!</v>
      </c>
      <c r="H102" s="61" t="e">
        <f t="shared" si="64"/>
        <v>#DIV/0!</v>
      </c>
      <c r="I102" s="62" t="e">
        <f t="shared" si="64"/>
        <v>#DIV/0!</v>
      </c>
      <c r="J102" s="73" t="e">
        <f t="shared" si="64"/>
        <v>#DIV/0!</v>
      </c>
      <c r="K102" s="73" t="e">
        <f t="shared" si="64"/>
        <v>#DIV/0!</v>
      </c>
      <c r="L102" s="140" t="e">
        <f t="shared" si="64"/>
        <v>#DIV/0!</v>
      </c>
      <c r="M102" s="139" t="e">
        <f t="shared" si="64"/>
        <v>#DIV/0!</v>
      </c>
      <c r="N102" s="388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388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26" t="e">
        <v>#DIV/0!</v>
      </c>
      <c r="J104" s="332" t="e">
        <v>#DIV/0!</v>
      </c>
      <c r="K104" s="332" t="e">
        <v>#DIV/0!</v>
      </c>
      <c r="L104" s="326" t="e">
        <v>#DIV/0!</v>
      </c>
      <c r="M104" s="333" t="e">
        <v>#DIV/0!</v>
      </c>
      <c r="N104" s="388"/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388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11" t="s">
        <v>178</v>
      </c>
      <c r="I106" s="312">
        <v>115</v>
      </c>
      <c r="J106" s="81"/>
      <c r="K106" s="81"/>
      <c r="L106" s="9"/>
      <c r="M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13" t="s">
        <v>179</v>
      </c>
      <c r="I107" s="314">
        <v>103</v>
      </c>
      <c r="J107" s="2"/>
      <c r="K107" s="2"/>
      <c r="L107" s="3"/>
      <c r="M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15" t="s">
        <v>180</v>
      </c>
      <c r="I108" s="316">
        <v>10.5</v>
      </c>
      <c r="J108" s="2"/>
      <c r="K108" s="2"/>
      <c r="L108" s="3"/>
      <c r="M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4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9" priority="8" stopIfTrue="1">
      <formula>$A$2="出力なし"</formula>
    </cfRule>
  </conditionalFormatting>
  <conditionalFormatting sqref="AG12:AI12">
    <cfRule type="expression" dxfId="78" priority="14" stopIfTrue="1">
      <formula>NOT(AG12="1個当たり")</formula>
    </cfRule>
  </conditionalFormatting>
  <conditionalFormatting sqref="AA31:AJ31">
    <cfRule type="expression" dxfId="77" priority="13" stopIfTrue="1">
      <formula>NOT(AA31="この表示値は、目安です。")</formula>
    </cfRule>
  </conditionalFormatting>
  <conditionalFormatting sqref="AG26">
    <cfRule type="expression" dxfId="76" priority="12" stopIfTrue="1">
      <formula>IF(AND(COUNTIF($A$6,"&lt;&gt;*様*"),$AE$26&lt;5),TRUE,FALSE)</formula>
    </cfRule>
  </conditionalFormatting>
  <conditionalFormatting sqref="AG25">
    <cfRule type="expression" dxfId="75" priority="11" stopIfTrue="1">
      <formula>IF(AND(COUNTIF($A$6,"&lt;&gt;*様*"),$AG$13&lt;100,$AE$25&lt;0.3),TRUE,FALSE)</formula>
    </cfRule>
  </conditionalFormatting>
  <conditionalFormatting sqref="AE22">
    <cfRule type="expression" dxfId="74" priority="10" stopIfTrue="1">
      <formula>IF($A$4="蒸し物",IF($AE$22&lt;30,TRUE,FALSE),FALSE)</formula>
    </cfRule>
  </conditionalFormatting>
  <conditionalFormatting sqref="Z24">
    <cfRule type="expression" dxfId="73" priority="7" stopIfTrue="1">
      <formula>COUNTIF($Z$24,"*1")</formula>
    </cfRule>
  </conditionalFormatting>
  <conditionalFormatting sqref="Z25">
    <cfRule type="expression" dxfId="72" priority="6" stopIfTrue="1">
      <formula>COUNTIF($Z$25,"*2")</formula>
    </cfRule>
  </conditionalFormatting>
  <conditionalFormatting sqref="AG12:AI12">
    <cfRule type="expression" dxfId="71" priority="2">
      <formula>$A$2="出力なし"</formula>
    </cfRule>
  </conditionalFormatting>
  <conditionalFormatting sqref="AG12:AI12">
    <cfRule type="expression" dxfId="70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6" r:id="rId4" name="cmdClear104">
          <controlPr defaultSize="0" autoLine="0" autoPict="0" r:id="rId5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3076" r:id="rId4" name="cmdClear104"/>
      </mc:Fallback>
    </mc:AlternateContent>
    <mc:AlternateContent xmlns:mc="http://schemas.openxmlformats.org/markup-compatibility/2006">
      <mc:Choice Requires="x14">
        <control shapeId="3075" r:id="rId6" name="cmdCopy104">
          <controlPr defaultSize="0" autoLine="0" r:id="rId7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3075" r:id="rId6" name="cmdCopy104"/>
      </mc:Fallback>
    </mc:AlternateContent>
    <mc:AlternateContent xmlns:mc="http://schemas.openxmlformats.org/markup-compatibility/2006">
      <mc:Choice Requires="x14">
        <control shapeId="3074" r:id="rId8" name="cmdClear87">
          <controlPr defaultSize="0" autoLine="0" autoPict="0" r:id="rId9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3074" r:id="rId8" name="cmdClear87"/>
      </mc:Fallback>
    </mc:AlternateContent>
    <mc:AlternateContent xmlns:mc="http://schemas.openxmlformats.org/markup-compatibility/2006">
      <mc:Choice Requires="x14">
        <control shapeId="3073" r:id="rId10" name="cmdCopy87">
          <controlPr defaultSize="0" autoLine="0" r:id="rId11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3073" r:id="rId10" name="cmdCopy8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33">
    <pageSetUpPr fitToPage="1"/>
  </sheetPr>
  <dimension ref="A1:AO120"/>
  <sheetViews>
    <sheetView showGridLines="0" topLeftCell="A61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216" t="s">
        <v>176</v>
      </c>
      <c r="J5" s="2"/>
      <c r="K5" s="2" t="s">
        <v>87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8"/>
      <c r="J6" s="8"/>
      <c r="K6" s="8" t="s">
        <v>88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7" t="s">
        <v>3</v>
      </c>
      <c r="C7" s="177" t="s">
        <v>4</v>
      </c>
      <c r="D7" s="177" t="s">
        <v>5</v>
      </c>
      <c r="E7" s="177" t="s">
        <v>6</v>
      </c>
      <c r="F7" s="177" t="s">
        <v>7</v>
      </c>
      <c r="G7" s="177" t="s">
        <v>8</v>
      </c>
      <c r="H7" s="177" t="s">
        <v>9</v>
      </c>
      <c r="I7" s="177" t="s">
        <v>10</v>
      </c>
      <c r="J7" s="176" t="s">
        <v>11</v>
      </c>
      <c r="K7" s="177" t="s">
        <v>12</v>
      </c>
      <c r="L7" s="178" t="s">
        <v>13</v>
      </c>
      <c r="M7" s="181" t="s">
        <v>80</v>
      </c>
      <c r="N7" s="167" t="s">
        <v>89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 t="s">
        <v>90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 t="s">
        <v>171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 t="s">
        <v>91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33" t="s">
        <v>21</v>
      </c>
      <c r="AB18" s="34"/>
      <c r="AC18" s="29"/>
      <c r="AD18" s="29"/>
      <c r="AE18" s="200" t="e">
        <f>IF($AE$22&lt;4.5,0,ROUND($AE$22/1000*2.54,2))</f>
        <v>#DIV/0!</v>
      </c>
      <c r="AF18" s="201"/>
      <c r="AG18" s="200" t="e">
        <f>IF($AE$22&lt;4.5,0,ROUND($AG$22/1000*2.54,2))</f>
        <v>#DIV/0!</v>
      </c>
      <c r="AH18" s="29" t="s">
        <v>69</v>
      </c>
      <c r="AI18" s="37"/>
      <c r="AJ18" s="34"/>
      <c r="AK18" s="111" t="e">
        <f>IF($AE$22&lt;4.5,0,2)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33" t="str">
        <f>IF($M$7="","",$M$7)</f>
        <v>カルシウム</v>
      </c>
      <c r="AB19" s="34"/>
      <c r="AC19" s="217"/>
      <c r="AD19" s="29"/>
      <c r="AE19" s="30" t="e">
        <f>$M$104</f>
        <v>#DIV/0!</v>
      </c>
      <c r="AF19" s="31"/>
      <c r="AG19" s="161" t="e">
        <f>ROUNDDOWN(($AG$13*AE19)/100,0)</f>
        <v>#DIV/0!</v>
      </c>
      <c r="AH19" s="165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tr">
        <f>IF($N$7="","",$N$7)</f>
        <v>ビタミンＤ</v>
      </c>
      <c r="AB20" s="34"/>
      <c r="AC20" s="217"/>
      <c r="AD20" s="29"/>
      <c r="AE20" s="163" t="e">
        <f>ROUNDDOWN($N$104,1)</f>
        <v>#DIV/0!</v>
      </c>
      <c r="AF20" s="164"/>
      <c r="AG20" s="163" t="e">
        <f>ROUNDDOWN(($AG$13*AE20)/100,1)</f>
        <v>#DIV/0!</v>
      </c>
      <c r="AH20" s="165" t="s">
        <v>79</v>
      </c>
      <c r="AI20" s="30"/>
      <c r="AJ20" s="34"/>
      <c r="AK20" s="111">
        <v>1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162" t="e">
        <f>ROUND(($AG$13*AE22)/100,0)</f>
        <v>#DIV/0!</v>
      </c>
      <c r="AH22" s="29" t="s">
        <v>70</v>
      </c>
      <c r="AI22" s="30"/>
      <c r="AJ22" s="34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37"/>
    </row>
    <row r="24" spans="1:41" ht="21" x14ac:dyDescent="0.2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2"/>
      <c r="AG24" s="44" t="e">
        <f>ROUND(($AG$13*AE24)/100,1)</f>
        <v>#DIV/0!</v>
      </c>
      <c r="AH24" s="41" t="s">
        <v>69</v>
      </c>
      <c r="AI24" s="42"/>
      <c r="AJ24" s="40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Z25" s="4" t="e">
        <f>IF(AG25&lt;15,"","＊1")</f>
        <v>#DIV/0!</v>
      </c>
      <c r="AA25" s="33" t="s">
        <v>12</v>
      </c>
      <c r="AB25" s="29"/>
      <c r="AC25" s="29"/>
      <c r="AD25" s="29"/>
      <c r="AE25" s="200" t="e">
        <f>$K$104</f>
        <v>#DIV/0!</v>
      </c>
      <c r="AF25" s="47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Z26" s="4" t="e">
        <f>IF(OR(AND(AE26&gt;=0.3,AG26*VALUE(F6)&gt;=0.45),AE26&gt;=0.45,AND(AG13&gt;=100,AG26*VALUE(F6)&gt;=0.45)),"＊2","")</f>
        <v>#DIV/0!</v>
      </c>
      <c r="AA26" s="33" t="s">
        <v>28</v>
      </c>
      <c r="AB26" s="29"/>
      <c r="AC26" s="29"/>
      <c r="AD26" s="29"/>
      <c r="AE26" s="200" t="e">
        <f>$J$104</f>
        <v>#DIV/0!</v>
      </c>
      <c r="AF26" s="48"/>
      <c r="AG26" s="200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161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114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114"/>
      <c r="O45" s="4">
        <f t="shared" si="1"/>
        <v>0</v>
      </c>
      <c r="P45" s="50"/>
      <c r="Q45" s="50"/>
      <c r="R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114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114"/>
      <c r="O47" s="4">
        <f t="shared" si="1"/>
        <v>0</v>
      </c>
      <c r="P47" s="50"/>
      <c r="Q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カルシウム</v>
      </c>
      <c r="N52" s="14" t="str">
        <f>N7</f>
        <v>ビタミンＤ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2" t="str">
        <f t="shared" ref="A54:B54" si="14">IF(A9="","",A9)</f>
        <v/>
      </c>
      <c r="B54" s="199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3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  <c r="AA55" s="101"/>
    </row>
    <row r="56" spans="1:33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  <c r="AA56" s="101"/>
    </row>
    <row r="57" spans="1:33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</row>
    <row r="58" spans="1:33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</row>
    <row r="59" spans="1:33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3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3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3" x14ac:dyDescent="0.2">
      <c r="A62" s="112" t="str">
        <f t="shared" ref="A62:B62" si="22">IF(A17="","",A17)</f>
        <v/>
      </c>
      <c r="B62" s="199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  <c r="AA62" s="100" t="s">
        <v>45</v>
      </c>
    </row>
    <row r="63" spans="1:33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  <c r="AA63" s="130" t="s">
        <v>55</v>
      </c>
    </row>
    <row r="64" spans="1:33" ht="18.75" x14ac:dyDescent="0.3">
      <c r="A64" s="112" t="str">
        <f t="shared" ref="A64:B64" si="24">IF(A19="","",A19)</f>
        <v/>
      </c>
      <c r="B64" s="199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</row>
    <row r="66" spans="1:27" x14ac:dyDescent="0.2">
      <c r="A66" s="112" t="str">
        <f t="shared" ref="A66:B66" si="26">IF(A21="","",A21)</f>
        <v/>
      </c>
      <c r="B66" s="199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</row>
    <row r="67" spans="1:27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27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27" x14ac:dyDescent="0.2">
      <c r="A69" s="112" t="str">
        <f t="shared" ref="A69:B69" si="29">IF(A24="","",A24)</f>
        <v/>
      </c>
      <c r="B69" s="199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27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27" ht="18.75" x14ac:dyDescent="0.3">
      <c r="A71" s="112" t="str">
        <f t="shared" ref="A71:B71" si="31">IF(A26="","",A26)</f>
        <v/>
      </c>
      <c r="B71" s="199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  <c r="AA71" s="102" t="s">
        <v>46</v>
      </c>
    </row>
    <row r="72" spans="1:27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  <c r="AA72" s="103" t="s">
        <v>71</v>
      </c>
    </row>
    <row r="73" spans="1:27" x14ac:dyDescent="0.2">
      <c r="A73" s="112" t="str">
        <f t="shared" ref="A73:B73" si="33">IF(A28="","",A28)</f>
        <v/>
      </c>
      <c r="B73" s="199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3" t="s">
        <v>61</v>
      </c>
    </row>
    <row r="74" spans="1:27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62</v>
      </c>
    </row>
    <row r="75" spans="1:27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63</v>
      </c>
    </row>
    <row r="76" spans="1:27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64</v>
      </c>
    </row>
    <row r="77" spans="1:27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49"/>
    </row>
    <row r="78" spans="1:27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</row>
    <row r="79" spans="1:27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</row>
    <row r="80" spans="1:27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31" t="e">
        <v>#DIV/0!</v>
      </c>
      <c r="N87" s="323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L41/100*A91</f>
        <v>0</v>
      </c>
      <c r="M91" s="144">
        <f t="shared" ref="M91:N99" si="55">M41/100*A91</f>
        <v>0</v>
      </c>
      <c r="N91" s="69">
        <f t="shared" si="55"/>
        <v>0</v>
      </c>
    </row>
    <row r="92" spans="1:14" x14ac:dyDescent="0.2">
      <c r="A92" s="112" t="str">
        <f t="shared" ref="A92:B92" si="56">IF(A42="","",A42)</f>
        <v/>
      </c>
      <c r="B92" s="199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5"/>
        <v>0</v>
      </c>
    </row>
    <row r="93" spans="1:14" x14ac:dyDescent="0.2">
      <c r="A93" s="112" t="str">
        <f t="shared" ref="A93:B93" si="57">IF(A43="","",A43)</f>
        <v/>
      </c>
      <c r="B93" s="199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5"/>
        <v>0</v>
      </c>
    </row>
    <row r="94" spans="1:14" x14ac:dyDescent="0.2">
      <c r="A94" s="112" t="str">
        <f t="shared" ref="A94:B94" si="58">IF(A44="","",A44)</f>
        <v/>
      </c>
      <c r="B94" s="199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5"/>
        <v>0</v>
      </c>
    </row>
    <row r="95" spans="1:14" x14ac:dyDescent="0.2">
      <c r="A95" s="112" t="str">
        <f t="shared" ref="A95:B95" si="59">IF(A45="","",A45)</f>
        <v/>
      </c>
      <c r="B95" s="199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5"/>
        <v>0</v>
      </c>
    </row>
    <row r="96" spans="1:14" x14ac:dyDescent="0.2">
      <c r="A96" s="112" t="str">
        <f t="shared" ref="A96:B96" si="60">IF(A46="","",A46)</f>
        <v/>
      </c>
      <c r="B96" s="199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5"/>
        <v>0</v>
      </c>
    </row>
    <row r="97" spans="1:14" x14ac:dyDescent="0.2">
      <c r="A97" s="112" t="str">
        <f t="shared" ref="A97:B97" si="61">IF(A47="","",A47)</f>
        <v/>
      </c>
      <c r="B97" s="199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5"/>
        <v>0</v>
      </c>
    </row>
    <row r="98" spans="1:14" x14ac:dyDescent="0.2">
      <c r="A98" s="112" t="str">
        <f t="shared" ref="A98:B98" si="62">IF(A48="","",A48)</f>
        <v/>
      </c>
      <c r="B98" s="199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5"/>
        <v>0</v>
      </c>
    </row>
    <row r="99" spans="1:14" x14ac:dyDescent="0.2">
      <c r="A99" s="112" t="str">
        <f t="shared" ref="A99:B99" si="63">IF(A49="","",A49)</f>
        <v/>
      </c>
      <c r="B99" s="199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 t="e">
        <f t="shared" si="64"/>
        <v>#DIV/0!</v>
      </c>
      <c r="D100" s="61" t="e">
        <f t="shared" si="64"/>
        <v>#DIV/0!</v>
      </c>
      <c r="E100" s="61" t="e">
        <f t="shared" si="64"/>
        <v>#DIV/0!</v>
      </c>
      <c r="F100" s="61" t="e">
        <f t="shared" si="64"/>
        <v>#DIV/0!</v>
      </c>
      <c r="G100" s="61" t="e">
        <f t="shared" si="64"/>
        <v>#DIV/0!</v>
      </c>
      <c r="H100" s="61" t="e">
        <f t="shared" si="64"/>
        <v>#DIV/0!</v>
      </c>
      <c r="I100" s="62" t="e">
        <f t="shared" si="64"/>
        <v>#DIV/0!</v>
      </c>
      <c r="J100" s="62" t="e">
        <f t="shared" si="64"/>
        <v>#DIV/0!</v>
      </c>
      <c r="K100" s="62" t="e">
        <f t="shared" si="64"/>
        <v>#DIV/0!</v>
      </c>
      <c r="L100" s="61" t="e">
        <f t="shared" si="64"/>
        <v>#DIV/0!</v>
      </c>
      <c r="M100" s="143" t="e">
        <f t="shared" si="64"/>
        <v>#DIV/0!</v>
      </c>
      <c r="N100" s="62" t="e">
        <f t="shared" si="64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5">SUM(D90:D99)</f>
        <v>#DIV/0!</v>
      </c>
      <c r="E102" s="61" t="e">
        <f t="shared" si="65"/>
        <v>#DIV/0!</v>
      </c>
      <c r="F102" s="61" t="e">
        <f t="shared" si="65"/>
        <v>#DIV/0!</v>
      </c>
      <c r="G102" s="61" t="e">
        <f t="shared" si="65"/>
        <v>#DIV/0!</v>
      </c>
      <c r="H102" s="61" t="e">
        <f t="shared" si="65"/>
        <v>#DIV/0!</v>
      </c>
      <c r="I102" s="62" t="e">
        <f t="shared" si="65"/>
        <v>#DIV/0!</v>
      </c>
      <c r="J102" s="73" t="e">
        <f t="shared" si="65"/>
        <v>#DIV/0!</v>
      </c>
      <c r="K102" s="73" t="e">
        <f t="shared" si="65"/>
        <v>#DIV/0!</v>
      </c>
      <c r="L102" s="140" t="e">
        <f t="shared" si="65"/>
        <v>#DIV/0!</v>
      </c>
      <c r="M102" s="139" t="e">
        <f t="shared" si="65"/>
        <v>#DIV/0!</v>
      </c>
      <c r="N102" s="138" t="e">
        <f t="shared" si="65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26" t="e">
        <v>#DIV/0!</v>
      </c>
      <c r="J104" s="332" t="e">
        <v>#DIV/0!</v>
      </c>
      <c r="K104" s="332" t="e">
        <v>#DIV/0!</v>
      </c>
      <c r="L104" s="326" t="e">
        <v>#DIV/0!</v>
      </c>
      <c r="M104" s="333" t="e">
        <v>#DIV/0!</v>
      </c>
      <c r="N104" s="334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05" t="s">
        <v>178</v>
      </c>
      <c r="I106" s="306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07" t="s">
        <v>179</v>
      </c>
      <c r="I107" s="308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09" t="s">
        <v>180</v>
      </c>
      <c r="I108" s="310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4" t="e">
        <f>AA19&amp;":"&amp;TEXT(AG19,"G/標準")&amp;AH19&amp;CHAR(10)&amp; AA20&amp;":"&amp;TEXT(AG20,"g/標準")&amp;AH20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9" priority="15" stopIfTrue="1">
      <formula>NOT(AG12="1個当たり")</formula>
    </cfRule>
  </conditionalFormatting>
  <conditionalFormatting sqref="AA31:AJ31">
    <cfRule type="expression" dxfId="68" priority="14" stopIfTrue="1">
      <formula>NOT(AA31="この表示値は、目安です。")</formula>
    </cfRule>
  </conditionalFormatting>
  <conditionalFormatting sqref="AG27">
    <cfRule type="expression" dxfId="67" priority="13" stopIfTrue="1">
      <formula>IF(AND(COUNTIF($A$6,"&lt;&gt;*様*"),$AE$27&lt;5),TRUE,FALSE)</formula>
    </cfRule>
  </conditionalFormatting>
  <conditionalFormatting sqref="AG26">
    <cfRule type="expression" dxfId="66" priority="12" stopIfTrue="1">
      <formula>IF(AND(COUNTIF($A$6,"&lt;&gt;*様*"),$AG$13&lt;100,$AE$26&lt;0.3),TRUE,FALSE)</formula>
    </cfRule>
  </conditionalFormatting>
  <conditionalFormatting sqref="AE23">
    <cfRule type="expression" dxfId="65" priority="11" stopIfTrue="1">
      <formula>IF($A$4="蒸し物",IF($AE$23&lt;30,TRUE,FALSE),FALSE)</formula>
    </cfRule>
  </conditionalFormatting>
  <conditionalFormatting sqref="AA1:AB1048576 AJ1:AJ1048576 AC1:AI6 AC8:AI1048576">
    <cfRule type="expression" dxfId="64" priority="9" stopIfTrue="1">
      <formula>$A$2="出力なし"</formula>
    </cfRule>
  </conditionalFormatting>
  <conditionalFormatting sqref="Z25">
    <cfRule type="expression" dxfId="63" priority="7" stopIfTrue="1">
      <formula>COUNTIF($Z$25,"*1")</formula>
    </cfRule>
  </conditionalFormatting>
  <conditionalFormatting sqref="Z26">
    <cfRule type="expression" dxfId="62" priority="6" stopIfTrue="1">
      <formula>COUNTIF($Z$26,"*2")</formula>
    </cfRule>
  </conditionalFormatting>
  <conditionalFormatting sqref="AG12:AI12">
    <cfRule type="expression" dxfId="61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cmdClear104">
          <controlPr defaultSize="0" autoLine="0" r:id="rId5">
            <anchor moveWithCells="1" sizeWithCells="1">
              <from>
                <xdr:col>24</xdr:col>
                <xdr:colOff>0</xdr:colOff>
                <xdr:row>102</xdr:row>
                <xdr:rowOff>228600</xdr:rowOff>
              </from>
              <to>
                <xdr:col>26</xdr:col>
                <xdr:colOff>47625</xdr:colOff>
                <xdr:row>104</xdr:row>
                <xdr:rowOff>0</xdr:rowOff>
              </to>
            </anchor>
          </controlPr>
        </control>
      </mc:Choice>
      <mc:Fallback>
        <control shapeId="4100" r:id="rId4" name="cmdClear104"/>
      </mc:Fallback>
    </mc:AlternateContent>
    <mc:AlternateContent xmlns:mc="http://schemas.openxmlformats.org/markup-compatibility/2006">
      <mc:Choice Requires="x14">
        <control shapeId="4099" r:id="rId6" name="cmdCopy104">
          <controlPr defaultSize="0" autoLine="0" r:id="rId7">
            <anchor moveWithCells="1" sizeWithCells="1">
              <from>
                <xdr:col>15</xdr:col>
                <xdr:colOff>114300</xdr:colOff>
                <xdr:row>102</xdr:row>
                <xdr:rowOff>228600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4099" r:id="rId6" name="cmdCopy104"/>
      </mc:Fallback>
    </mc:AlternateContent>
    <mc:AlternateContent xmlns:mc="http://schemas.openxmlformats.org/markup-compatibility/2006">
      <mc:Choice Requires="x14">
        <control shapeId="4098" r:id="rId8" name="cmdClear87">
          <controlPr defaultSize="0" autoLine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57150</xdr:colOff>
                <xdr:row>87</xdr:row>
                <xdr:rowOff>28575</xdr:rowOff>
              </to>
            </anchor>
          </controlPr>
        </control>
      </mc:Choice>
      <mc:Fallback>
        <control shapeId="4098" r:id="rId8" name="cmdClear87"/>
      </mc:Fallback>
    </mc:AlternateContent>
    <mc:AlternateContent xmlns:mc="http://schemas.openxmlformats.org/markup-compatibility/2006">
      <mc:Choice Requires="x14">
        <control shapeId="4097" r:id="rId10" name="cmdCopy87">
          <controlPr defaultSize="0" autoLine="0" r:id="rId11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28575</xdr:rowOff>
              </to>
            </anchor>
          </controlPr>
        </control>
      </mc:Choice>
      <mc:Fallback>
        <control shapeId="4097" r:id="rId10" name="cmdCopy8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1">
    <pageSetUpPr fitToPage="1"/>
  </sheetPr>
  <dimension ref="A1:AO120"/>
  <sheetViews>
    <sheetView showGridLines="0" topLeftCell="A61" zoomScale="70" zoomScaleNormal="70" workbookViewId="0">
      <selection activeCell="Q102" sqref="Q102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216" t="s">
        <v>175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133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169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00" t="e">
        <f>IF($AE$21&lt;4.5,0,ROUND($AE$21/1000*2.54,2))</f>
        <v>#DIV/0!</v>
      </c>
      <c r="AF18" s="201"/>
      <c r="AG18" s="200" t="e">
        <f>IF($AE$21&lt;4.5,0,ROUND($AG$21/1000*2.54,2))</f>
        <v>#DIV/0!</v>
      </c>
      <c r="AH18" s="29" t="s">
        <v>69</v>
      </c>
      <c r="AI18" s="37"/>
      <c r="AJ18" s="34"/>
      <c r="AK18" s="111" t="e">
        <f>IF($AE$21&lt;4.5,0,2)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ビタミンB1</v>
      </c>
      <c r="AB19" s="34"/>
      <c r="AC19" s="180"/>
      <c r="AD19" s="29"/>
      <c r="AE19" s="30" t="e">
        <f>ROUNDDOWN($M$104,1)</f>
        <v>#DIV/0!</v>
      </c>
      <c r="AF19" s="31"/>
      <c r="AG19" s="161" t="e">
        <f>ROUNDDOWN(($AG$13*AE19)/100,1)</f>
        <v>#DIV/0!</v>
      </c>
      <c r="AH19" s="180" t="s">
        <v>70</v>
      </c>
      <c r="AI19" s="30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IF(AG24&lt;15,"","＊1")</f>
        <v>#DIV/0!</v>
      </c>
      <c r="AA24" s="33" t="s">
        <v>12</v>
      </c>
      <c r="AB24" s="29"/>
      <c r="AC24" s="29"/>
      <c r="AD24" s="29"/>
      <c r="AE24" s="200" t="e">
        <f>$K$104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IF(OR(AND(AE25&gt;=0.3,AG25*VALUE(F6)&gt;=0.45),AE25&gt;=0.45,AND(AG13&gt;=100,AG25*VALUE(F6)&gt;=0.45)),"＊2","")</f>
        <v>#DIV/0!</v>
      </c>
      <c r="AA25" s="33" t="s">
        <v>28</v>
      </c>
      <c r="AB25" s="29"/>
      <c r="AC25" s="29"/>
      <c r="AD25" s="29"/>
      <c r="AE25" s="200" t="e">
        <f>$J$104</f>
        <v>#DIV/0!</v>
      </c>
      <c r="AF25" s="48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ビタミンB1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69" si="13">IF(A9="","",A9)</f>
        <v/>
      </c>
      <c r="B54" s="199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si="13"/>
        <v/>
      </c>
      <c r="B55" s="199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si="13"/>
        <v/>
      </c>
      <c r="B56" s="199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si="13"/>
        <v/>
      </c>
      <c r="B57" s="199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si="13"/>
        <v/>
      </c>
      <c r="B58" s="199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si="13"/>
        <v/>
      </c>
      <c r="B59" s="199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si="13"/>
        <v/>
      </c>
      <c r="B60" s="199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si="13"/>
        <v/>
      </c>
      <c r="B61" s="199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si="13"/>
        <v/>
      </c>
      <c r="B62" s="199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si="13"/>
        <v/>
      </c>
      <c r="B63" s="199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si="13"/>
        <v/>
      </c>
      <c r="B64" s="199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si="13"/>
        <v/>
      </c>
      <c r="B65" s="199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si="13"/>
        <v/>
      </c>
      <c r="B66" s="199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si="13"/>
        <v/>
      </c>
      <c r="B67" s="199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si="13"/>
        <v/>
      </c>
      <c r="B68" s="199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si="13"/>
        <v/>
      </c>
      <c r="B69" s="199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82" si="14">IF(A25="","",A25)</f>
        <v/>
      </c>
      <c r="B70" s="199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si="14"/>
        <v/>
      </c>
      <c r="B71" s="199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si="14"/>
        <v/>
      </c>
      <c r="B72" s="199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si="14"/>
        <v/>
      </c>
      <c r="B73" s="199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si="14"/>
        <v/>
      </c>
      <c r="B74" s="199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si="14"/>
        <v/>
      </c>
      <c r="B75" s="199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si="14"/>
        <v/>
      </c>
      <c r="B76" s="199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si="14"/>
        <v/>
      </c>
      <c r="B77" s="199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si="14"/>
        <v/>
      </c>
      <c r="B78" s="199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si="14"/>
        <v/>
      </c>
      <c r="B79" s="199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si="14"/>
        <v/>
      </c>
      <c r="B80" s="199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4" x14ac:dyDescent="0.2">
      <c r="A81" s="112" t="str">
        <f t="shared" si="14"/>
        <v/>
      </c>
      <c r="B81" s="199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4" x14ac:dyDescent="0.2">
      <c r="A82" s="112" t="str">
        <f t="shared" si="14"/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4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3">
        <f t="shared" si="15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151">
        <f t="shared" si="16"/>
        <v>0</v>
      </c>
      <c r="M85" s="150">
        <f t="shared" si="16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388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31" t="e">
        <v>#DIV/0!</v>
      </c>
      <c r="N87" s="38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88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ビタミンB1</v>
      </c>
      <c r="N89" s="388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388"/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L41/100*A91</f>
        <v>0</v>
      </c>
      <c r="M91" s="144">
        <f t="shared" ref="M91:M99" si="27">M41/100*A91</f>
        <v>0</v>
      </c>
      <c r="N91" s="388"/>
    </row>
    <row r="92" spans="1:14" x14ac:dyDescent="0.2">
      <c r="A92" s="112" t="str">
        <f t="shared" ref="A92:B99" si="28">IF(A42="","",A42)</f>
        <v/>
      </c>
      <c r="B92" s="199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 t="shared" si="27"/>
        <v>0</v>
      </c>
      <c r="N92" s="388"/>
    </row>
    <row r="93" spans="1:14" x14ac:dyDescent="0.2">
      <c r="A93" s="112" t="str">
        <f t="shared" si="28"/>
        <v/>
      </c>
      <c r="B93" s="199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si="27"/>
        <v>0</v>
      </c>
      <c r="N93" s="388"/>
    </row>
    <row r="94" spans="1:14" x14ac:dyDescent="0.2">
      <c r="A94" s="112" t="str">
        <f t="shared" si="28"/>
        <v/>
      </c>
      <c r="B94" s="199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7"/>
        <v>0</v>
      </c>
      <c r="N94" s="388"/>
    </row>
    <row r="95" spans="1:14" x14ac:dyDescent="0.2">
      <c r="A95" s="112" t="str">
        <f t="shared" si="28"/>
        <v/>
      </c>
      <c r="B95" s="199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7"/>
        <v>0</v>
      </c>
      <c r="N95" s="388"/>
    </row>
    <row r="96" spans="1:14" x14ac:dyDescent="0.2">
      <c r="A96" s="112" t="str">
        <f t="shared" si="28"/>
        <v/>
      </c>
      <c r="B96" s="199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7"/>
        <v>0</v>
      </c>
      <c r="N96" s="388"/>
    </row>
    <row r="97" spans="1:14" x14ac:dyDescent="0.2">
      <c r="A97" s="112" t="str">
        <f t="shared" si="28"/>
        <v/>
      </c>
      <c r="B97" s="199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7"/>
        <v>0</v>
      </c>
      <c r="N97" s="388"/>
    </row>
    <row r="98" spans="1:14" x14ac:dyDescent="0.2">
      <c r="A98" s="112" t="str">
        <f t="shared" si="28"/>
        <v/>
      </c>
      <c r="B98" s="199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7"/>
        <v>0</v>
      </c>
      <c r="N98" s="388"/>
    </row>
    <row r="99" spans="1:14" x14ac:dyDescent="0.2">
      <c r="A99" s="112" t="str">
        <f t="shared" si="28"/>
        <v/>
      </c>
      <c r="B99" s="199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7"/>
        <v>0</v>
      </c>
      <c r="N99" s="388"/>
    </row>
    <row r="100" spans="1:14" x14ac:dyDescent="0.2">
      <c r="A100" s="10" t="s">
        <v>34</v>
      </c>
      <c r="B100" s="67">
        <f t="shared" ref="B100:M100" si="29">SUM(B90:B99)</f>
        <v>100</v>
      </c>
      <c r="C100" s="61" t="e">
        <f t="shared" si="29"/>
        <v>#DIV/0!</v>
      </c>
      <c r="D100" s="61" t="e">
        <f t="shared" si="29"/>
        <v>#DIV/0!</v>
      </c>
      <c r="E100" s="61" t="e">
        <f t="shared" si="29"/>
        <v>#DIV/0!</v>
      </c>
      <c r="F100" s="61" t="e">
        <f t="shared" si="29"/>
        <v>#DIV/0!</v>
      </c>
      <c r="G100" s="61" t="e">
        <f t="shared" si="29"/>
        <v>#DIV/0!</v>
      </c>
      <c r="H100" s="61" t="e">
        <f t="shared" si="29"/>
        <v>#DIV/0!</v>
      </c>
      <c r="I100" s="62" t="e">
        <f t="shared" si="29"/>
        <v>#DIV/0!</v>
      </c>
      <c r="J100" s="62" t="e">
        <f t="shared" si="29"/>
        <v>#DIV/0!</v>
      </c>
      <c r="K100" s="62" t="e">
        <f t="shared" si="29"/>
        <v>#DIV/0!</v>
      </c>
      <c r="L100" s="61" t="e">
        <f t="shared" si="29"/>
        <v>#DIV/0!</v>
      </c>
      <c r="M100" s="143" t="e">
        <f t="shared" si="29"/>
        <v>#DIV/0!</v>
      </c>
      <c r="N100" s="388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38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30">SUM(D90:D99)</f>
        <v>#DIV/0!</v>
      </c>
      <c r="E102" s="61" t="e">
        <f t="shared" si="30"/>
        <v>#DIV/0!</v>
      </c>
      <c r="F102" s="61" t="e">
        <f t="shared" si="30"/>
        <v>#DIV/0!</v>
      </c>
      <c r="G102" s="61" t="e">
        <f t="shared" si="30"/>
        <v>#DIV/0!</v>
      </c>
      <c r="H102" s="61" t="e">
        <f t="shared" si="30"/>
        <v>#DIV/0!</v>
      </c>
      <c r="I102" s="62" t="e">
        <f t="shared" si="30"/>
        <v>#DIV/0!</v>
      </c>
      <c r="J102" s="73" t="e">
        <f t="shared" si="30"/>
        <v>#DIV/0!</v>
      </c>
      <c r="K102" s="73" t="e">
        <f t="shared" si="30"/>
        <v>#DIV/0!</v>
      </c>
      <c r="L102" s="140" t="e">
        <f t="shared" si="30"/>
        <v>#DIV/0!</v>
      </c>
      <c r="M102" s="139" t="e">
        <f t="shared" si="30"/>
        <v>#DIV/0!</v>
      </c>
      <c r="N102" s="388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218" t="e">
        <f>ROUND(+M102/B102*100,0)</f>
        <v>#DIV/0!</v>
      </c>
      <c r="N103" s="388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26" t="e">
        <v>#DIV/0!</v>
      </c>
      <c r="J104" s="332" t="e">
        <v>#DIV/0!</v>
      </c>
      <c r="K104" s="332" t="e">
        <v>#DIV/0!</v>
      </c>
      <c r="L104" s="326" t="e">
        <v>#DIV/0!</v>
      </c>
      <c r="M104" s="335" t="e">
        <v>#DIV/0!</v>
      </c>
      <c r="N104" s="388"/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388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99" t="s">
        <v>178</v>
      </c>
      <c r="I106" s="300">
        <v>115</v>
      </c>
      <c r="J106" s="81"/>
      <c r="K106" s="81"/>
      <c r="L106" s="9"/>
      <c r="M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01" t="s">
        <v>179</v>
      </c>
      <c r="I107" s="302">
        <v>103</v>
      </c>
      <c r="J107" s="2"/>
      <c r="K107" s="2"/>
      <c r="L107" s="3"/>
      <c r="M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03" t="s">
        <v>180</v>
      </c>
      <c r="I108" s="304">
        <v>10.5</v>
      </c>
      <c r="J108" s="2"/>
      <c r="K108" s="2"/>
      <c r="L108" s="3"/>
      <c r="M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4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60" priority="11" stopIfTrue="1">
      <formula>$A$2="出力なし"</formula>
    </cfRule>
  </conditionalFormatting>
  <conditionalFormatting sqref="AG12:AI12">
    <cfRule type="expression" dxfId="59" priority="10" stopIfTrue="1">
      <formula>NOT(AG12="1個当たり")</formula>
    </cfRule>
  </conditionalFormatting>
  <conditionalFormatting sqref="AA31:AJ31">
    <cfRule type="expression" dxfId="58" priority="9" stopIfTrue="1">
      <formula>NOT(AA31="この表示値は、目安です。")</formula>
    </cfRule>
  </conditionalFormatting>
  <conditionalFormatting sqref="AG26">
    <cfRule type="expression" dxfId="57" priority="8" stopIfTrue="1">
      <formula>IF(AND(COUNTIF($A$6,"&lt;&gt;*様*"),$AE$26&lt;5),TRUE,FALSE)</formula>
    </cfRule>
  </conditionalFormatting>
  <conditionalFormatting sqref="AG25">
    <cfRule type="expression" dxfId="56" priority="7" stopIfTrue="1">
      <formula>IF(AND(COUNTIF($A$6,"&lt;&gt;*様*"),$AG$13&lt;100,$AE$25&lt;0.3),TRUE,FALSE)</formula>
    </cfRule>
  </conditionalFormatting>
  <conditionalFormatting sqref="AE22">
    <cfRule type="expression" dxfId="55" priority="6" stopIfTrue="1">
      <formula>IF($A$4="蒸し物",IF($AE$22&lt;30,TRUE,FALSE),FALSE)</formula>
    </cfRule>
  </conditionalFormatting>
  <conditionalFormatting sqref="Z24">
    <cfRule type="expression" dxfId="54" priority="5" stopIfTrue="1">
      <formula>COUNTIF($Z$24,"*1")</formula>
    </cfRule>
  </conditionalFormatting>
  <conditionalFormatting sqref="Z25">
    <cfRule type="expression" dxfId="53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4" r:id="rId4" name="cmdClear104">
          <controlPr defaultSize="0" autoLine="0" autoPict="0" r:id="rId5">
            <anchor moveWithCells="1" sizeWithCells="1">
              <from>
                <xdr:col>20</xdr:col>
                <xdr:colOff>76200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5124" r:id="rId4" name="cmdClear104"/>
      </mc:Fallback>
    </mc:AlternateContent>
    <mc:AlternateContent xmlns:mc="http://schemas.openxmlformats.org/markup-compatibility/2006">
      <mc:Choice Requires="x14">
        <control shapeId="5123" r:id="rId6" name="cmdCopy104">
          <controlPr defaultSize="0" autoLine="0" autoPict="0" r:id="rId7">
            <anchor moveWithCells="1" sizeWithCells="1">
              <from>
                <xdr:col>14</xdr:col>
                <xdr:colOff>85725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5123" r:id="rId6" name="cmdCopy104"/>
      </mc:Fallback>
    </mc:AlternateContent>
    <mc:AlternateContent xmlns:mc="http://schemas.openxmlformats.org/markup-compatibility/2006">
      <mc:Choice Requires="x14">
        <control shapeId="5122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361950</xdr:colOff>
                <xdr:row>87</xdr:row>
                <xdr:rowOff>76200</xdr:rowOff>
              </to>
            </anchor>
          </controlPr>
        </control>
      </mc:Choice>
      <mc:Fallback>
        <control shapeId="5122" r:id="rId8" name="cmdClear87"/>
      </mc:Fallback>
    </mc:AlternateContent>
    <mc:AlternateContent xmlns:mc="http://schemas.openxmlformats.org/markup-compatibility/2006">
      <mc:Choice Requires="x14">
        <control shapeId="5121" r:id="rId10" name="cmdCopy87">
          <controlPr defaultSize="0" autoLine="0" autoPict="0" r:id="rId11">
            <anchor moveWithCells="1" sizeWithCells="1">
              <from>
                <xdr:col>14</xdr:col>
                <xdr:colOff>85725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5121" r:id="rId10" name="cmdCopy8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2">
    <pageSetUpPr fitToPage="1"/>
  </sheetPr>
  <dimension ref="A1:AO120"/>
  <sheetViews>
    <sheetView showGridLines="0" topLeftCell="A61" zoomScale="70" zoomScaleNormal="70" workbookViewId="0">
      <selection activeCell="N86" sqref="N86:N105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216" t="s">
        <v>173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135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134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B9" s="5" t="s">
        <v>170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00" t="e">
        <f>IF($AE$21&lt;4.5,0,ROUND($AE$21/1000*2.54,2))</f>
        <v>#DIV/0!</v>
      </c>
      <c r="AF18" s="201"/>
      <c r="AG18" s="200" t="e">
        <f>IF($AE$21&lt;4.5,0,ROUND($AG$21/1000*2.54,2))</f>
        <v>#DIV/0!</v>
      </c>
      <c r="AH18" s="29" t="s">
        <v>69</v>
      </c>
      <c r="AI18" s="37"/>
      <c r="AJ18" s="34"/>
      <c r="AK18" s="111" t="e">
        <f>IF($AE$21&lt;4.5,0,2)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鉄</v>
      </c>
      <c r="AB19" s="34"/>
      <c r="AC19" s="180"/>
      <c r="AD19" s="29"/>
      <c r="AE19" s="32" t="e">
        <f>ROUNDDOWN($M$104,1)</f>
        <v>#DIV/0!</v>
      </c>
      <c r="AF19" s="31"/>
      <c r="AG19" s="163" t="e">
        <f>ROUNDDOWN(($AG$13*AE19)/100,1)</f>
        <v>#DIV/0!</v>
      </c>
      <c r="AH19" s="180" t="s">
        <v>70</v>
      </c>
      <c r="AI19" s="30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IF(AG24&lt;15,"","＊1")</f>
        <v>#DIV/0!</v>
      </c>
      <c r="AA24" s="33" t="s">
        <v>12</v>
      </c>
      <c r="AB24" s="29"/>
      <c r="AC24" s="29"/>
      <c r="AD24" s="29"/>
      <c r="AE24" s="200" t="e">
        <f>$K$104</f>
        <v>#DIV/0!</v>
      </c>
      <c r="AF24" s="201"/>
      <c r="AG24" s="200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IF(OR(AND(AE25&gt;=0.3,AG25*VALUE(F6)&gt;=0.45),AE25&gt;=0.45,AND(AG13&gt;=100,AG25*VALUE(F6)&gt;=0.45)),"＊2","")</f>
        <v>#DIV/0!</v>
      </c>
      <c r="AA25" s="33" t="s">
        <v>28</v>
      </c>
      <c r="AB25" s="29"/>
      <c r="AC25" s="29"/>
      <c r="AD25" s="29"/>
      <c r="AE25" s="200" t="e">
        <f>$J$104</f>
        <v>#DIV/0!</v>
      </c>
      <c r="AF25" s="48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鉄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69" si="13">IF(A9="","",A9)</f>
        <v/>
      </c>
      <c r="B54" s="199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si="13"/>
        <v/>
      </c>
      <c r="B55" s="199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si="13"/>
        <v/>
      </c>
      <c r="B56" s="199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si="13"/>
        <v/>
      </c>
      <c r="B57" s="199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si="13"/>
        <v/>
      </c>
      <c r="B58" s="199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si="13"/>
        <v/>
      </c>
      <c r="B59" s="199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si="13"/>
        <v/>
      </c>
      <c r="B60" s="199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si="13"/>
        <v/>
      </c>
      <c r="B61" s="199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si="13"/>
        <v/>
      </c>
      <c r="B62" s="199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si="13"/>
        <v/>
      </c>
      <c r="B63" s="199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si="13"/>
        <v/>
      </c>
      <c r="B64" s="199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si="13"/>
        <v/>
      </c>
      <c r="B65" s="199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si="13"/>
        <v/>
      </c>
      <c r="B66" s="199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si="13"/>
        <v/>
      </c>
      <c r="B67" s="199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si="13"/>
        <v/>
      </c>
      <c r="B68" s="199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si="13"/>
        <v/>
      </c>
      <c r="B69" s="199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82" si="14">IF(A25="","",A25)</f>
        <v/>
      </c>
      <c r="B70" s="199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si="14"/>
        <v/>
      </c>
      <c r="B71" s="199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si="14"/>
        <v/>
      </c>
      <c r="B72" s="199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si="14"/>
        <v/>
      </c>
      <c r="B73" s="199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si="14"/>
        <v/>
      </c>
      <c r="B74" s="199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si="14"/>
        <v/>
      </c>
      <c r="B75" s="199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si="14"/>
        <v/>
      </c>
      <c r="B76" s="199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si="14"/>
        <v/>
      </c>
      <c r="B77" s="199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si="14"/>
        <v/>
      </c>
      <c r="B78" s="199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si="14"/>
        <v/>
      </c>
      <c r="B79" s="199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si="14"/>
        <v/>
      </c>
      <c r="B80" s="199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4" x14ac:dyDescent="0.2">
      <c r="A81" s="112" t="str">
        <f t="shared" si="14"/>
        <v/>
      </c>
      <c r="B81" s="199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4" x14ac:dyDescent="0.2">
      <c r="A82" s="112" t="str">
        <f t="shared" si="14"/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4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3">
        <f t="shared" si="15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151">
        <f t="shared" si="16"/>
        <v>0</v>
      </c>
      <c r="M85" s="150">
        <f t="shared" si="16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388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36" t="e">
        <v>#DIV/0!</v>
      </c>
      <c r="M87" s="337" t="e">
        <v>#DIV/0!</v>
      </c>
      <c r="N87" s="38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88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鉄</v>
      </c>
      <c r="N89" s="388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388"/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L41/100*A91</f>
        <v>0</v>
      </c>
      <c r="M91" s="144">
        <f>M41/100*B91</f>
        <v>0</v>
      </c>
      <c r="N91" s="388"/>
    </row>
    <row r="92" spans="1:14" x14ac:dyDescent="0.2">
      <c r="A92" s="112" t="str">
        <f t="shared" ref="A92:B99" si="27">IF(A42="","",A42)</f>
        <v/>
      </c>
      <c r="B92" s="199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>M42/100*B92</f>
        <v>0</v>
      </c>
      <c r="N92" s="388"/>
    </row>
    <row r="93" spans="1:14" x14ac:dyDescent="0.2">
      <c r="A93" s="112" t="str">
        <f t="shared" si="27"/>
        <v/>
      </c>
      <c r="B93" s="199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ref="M93:M99" si="28">M43/100*A93</f>
        <v>0</v>
      </c>
      <c r="N93" s="388"/>
    </row>
    <row r="94" spans="1:14" x14ac:dyDescent="0.2">
      <c r="A94" s="112" t="str">
        <f t="shared" si="27"/>
        <v/>
      </c>
      <c r="B94" s="199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8"/>
        <v>0</v>
      </c>
      <c r="N94" s="388"/>
    </row>
    <row r="95" spans="1:14" x14ac:dyDescent="0.2">
      <c r="A95" s="112" t="str">
        <f t="shared" si="27"/>
        <v/>
      </c>
      <c r="B95" s="199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8"/>
        <v>0</v>
      </c>
      <c r="N95" s="388"/>
    </row>
    <row r="96" spans="1:14" x14ac:dyDescent="0.2">
      <c r="A96" s="112" t="str">
        <f t="shared" si="27"/>
        <v/>
      </c>
      <c r="B96" s="199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8"/>
        <v>0</v>
      </c>
      <c r="N96" s="388"/>
    </row>
    <row r="97" spans="1:14" x14ac:dyDescent="0.2">
      <c r="A97" s="112" t="str">
        <f t="shared" si="27"/>
        <v/>
      </c>
      <c r="B97" s="199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8"/>
        <v>0</v>
      </c>
      <c r="N97" s="388"/>
    </row>
    <row r="98" spans="1:14" x14ac:dyDescent="0.2">
      <c r="A98" s="112" t="str">
        <f t="shared" si="27"/>
        <v/>
      </c>
      <c r="B98" s="199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8"/>
        <v>0</v>
      </c>
      <c r="N98" s="388"/>
    </row>
    <row r="99" spans="1:14" x14ac:dyDescent="0.2">
      <c r="A99" s="112" t="str">
        <f t="shared" si="27"/>
        <v/>
      </c>
      <c r="B99" s="199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8"/>
        <v>0</v>
      </c>
      <c r="N99" s="388"/>
    </row>
    <row r="100" spans="1:14" x14ac:dyDescent="0.2">
      <c r="A100" s="10" t="s">
        <v>34</v>
      </c>
      <c r="B100" s="67">
        <f t="shared" ref="B100:M100" si="29">SUM(B90:B99)</f>
        <v>100</v>
      </c>
      <c r="C100" s="61" t="e">
        <f t="shared" si="29"/>
        <v>#DIV/0!</v>
      </c>
      <c r="D100" s="61" t="e">
        <f t="shared" si="29"/>
        <v>#DIV/0!</v>
      </c>
      <c r="E100" s="61" t="e">
        <f t="shared" si="29"/>
        <v>#DIV/0!</v>
      </c>
      <c r="F100" s="61" t="e">
        <f t="shared" si="29"/>
        <v>#DIV/0!</v>
      </c>
      <c r="G100" s="61" t="e">
        <f t="shared" si="29"/>
        <v>#DIV/0!</v>
      </c>
      <c r="H100" s="61" t="e">
        <f t="shared" si="29"/>
        <v>#DIV/0!</v>
      </c>
      <c r="I100" s="62" t="e">
        <f t="shared" si="29"/>
        <v>#DIV/0!</v>
      </c>
      <c r="J100" s="62" t="e">
        <f t="shared" si="29"/>
        <v>#DIV/0!</v>
      </c>
      <c r="K100" s="62" t="e">
        <f t="shared" si="29"/>
        <v>#DIV/0!</v>
      </c>
      <c r="L100" s="61" t="e">
        <f t="shared" si="29"/>
        <v>#DIV/0!</v>
      </c>
      <c r="M100" s="143" t="e">
        <f t="shared" si="29"/>
        <v>#DIV/0!</v>
      </c>
      <c r="N100" s="388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38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30">SUM(D90:D99)</f>
        <v>#DIV/0!</v>
      </c>
      <c r="E102" s="61" t="e">
        <f t="shared" si="30"/>
        <v>#DIV/0!</v>
      </c>
      <c r="F102" s="61" t="e">
        <f t="shared" si="30"/>
        <v>#DIV/0!</v>
      </c>
      <c r="G102" s="61" t="e">
        <f t="shared" si="30"/>
        <v>#DIV/0!</v>
      </c>
      <c r="H102" s="61" t="e">
        <f t="shared" si="30"/>
        <v>#DIV/0!</v>
      </c>
      <c r="I102" s="62" t="e">
        <f t="shared" si="30"/>
        <v>#DIV/0!</v>
      </c>
      <c r="J102" s="73" t="e">
        <f t="shared" si="30"/>
        <v>#DIV/0!</v>
      </c>
      <c r="K102" s="73" t="e">
        <f t="shared" si="30"/>
        <v>#DIV/0!</v>
      </c>
      <c r="L102" s="140" t="e">
        <f t="shared" si="30"/>
        <v>#DIV/0!</v>
      </c>
      <c r="M102" s="139" t="e">
        <f t="shared" si="30"/>
        <v>#DIV/0!</v>
      </c>
      <c r="N102" s="388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219" t="e">
        <f>ROUND(+M102/B102*100,1)</f>
        <v>#DIV/0!</v>
      </c>
      <c r="N103" s="388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38" t="e">
        <v>#DIV/0!</v>
      </c>
      <c r="J104" s="332" t="e">
        <v>#DIV/0!</v>
      </c>
      <c r="K104" s="332" t="e">
        <v>#DIV/0!</v>
      </c>
      <c r="L104" s="338" t="e">
        <v>#DIV/0!</v>
      </c>
      <c r="M104" s="339" t="e">
        <v>#DIV/0!</v>
      </c>
      <c r="N104" s="388"/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388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93" t="s">
        <v>178</v>
      </c>
      <c r="I106" s="294">
        <v>115</v>
      </c>
      <c r="J106" s="81"/>
      <c r="K106" s="81"/>
      <c r="L106" s="9"/>
      <c r="M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95" t="s">
        <v>179</v>
      </c>
      <c r="I107" s="296">
        <v>103</v>
      </c>
      <c r="J107" s="2"/>
      <c r="K107" s="2"/>
      <c r="L107" s="3"/>
      <c r="M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297" t="s">
        <v>180</v>
      </c>
      <c r="I108" s="298">
        <v>10.5</v>
      </c>
      <c r="J108" s="2"/>
      <c r="K108" s="2"/>
      <c r="L108" s="3"/>
      <c r="M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4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52" priority="12" stopIfTrue="1">
      <formula>$A$2="出力なし"</formula>
    </cfRule>
  </conditionalFormatting>
  <conditionalFormatting sqref="AG12:AI12">
    <cfRule type="expression" dxfId="51" priority="11" stopIfTrue="1">
      <formula>NOT(AG12="1個当たり")</formula>
    </cfRule>
  </conditionalFormatting>
  <conditionalFormatting sqref="AA31:AJ31">
    <cfRule type="expression" dxfId="50" priority="10" stopIfTrue="1">
      <formula>NOT(AA31="この表示値は、目安です。")</formula>
    </cfRule>
  </conditionalFormatting>
  <conditionalFormatting sqref="AG26">
    <cfRule type="expression" dxfId="49" priority="9" stopIfTrue="1">
      <formula>IF(AND(COUNTIF($A$6,"&lt;&gt;*様*"),$AE$26&lt;5),TRUE,FALSE)</formula>
    </cfRule>
  </conditionalFormatting>
  <conditionalFormatting sqref="AG25">
    <cfRule type="expression" dxfId="48" priority="8" stopIfTrue="1">
      <formula>IF(AND(COUNTIF($A$6,"&lt;&gt;*様*"),$AG$13&lt;100,$AE$25&lt;0.3),TRUE,FALSE)</formula>
    </cfRule>
  </conditionalFormatting>
  <conditionalFormatting sqref="AE22">
    <cfRule type="expression" dxfId="47" priority="7" stopIfTrue="1">
      <formula>IF($A$4="蒸し物",IF($AE$22&lt;30,TRUE,FALSE),FALSE)</formula>
    </cfRule>
  </conditionalFormatting>
  <conditionalFormatting sqref="Z24">
    <cfRule type="expression" dxfId="46" priority="6" stopIfTrue="1">
      <formula>COUNTIF($Z$24,"*1")</formula>
    </cfRule>
  </conditionalFormatting>
  <conditionalFormatting sqref="AG12:AI12">
    <cfRule type="expression" dxfId="45" priority="4">
      <formula>$A$2="出力なし"</formula>
    </cfRule>
  </conditionalFormatting>
  <conditionalFormatting sqref="AG12:AI12">
    <cfRule type="expression" dxfId="44" priority="3" stopIfTrue="1">
      <formula>NOT(AG12="1個当たり")</formula>
    </cfRule>
  </conditionalFormatting>
  <conditionalFormatting sqref="AB9">
    <cfRule type="expression" dxfId="43" priority="2" stopIfTrue="1">
      <formula>$A$2="出力なし"</formula>
    </cfRule>
  </conditionalFormatting>
  <conditionalFormatting sqref="Z25">
    <cfRule type="expression" dxfId="42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8" r:id="rId4" name="cmdClear104">
          <controlPr defaultSize="0" autoLine="0" autoPict="0" r:id="rId5">
            <anchor moveWithCells="1" sizeWithCells="1">
              <from>
                <xdr:col>21</xdr:col>
                <xdr:colOff>76200</xdr:colOff>
                <xdr:row>103</xdr:row>
                <xdr:rowOff>0</xdr:rowOff>
              </from>
              <to>
                <xdr:col>25</xdr:col>
                <xdr:colOff>466725</xdr:colOff>
                <xdr:row>104</xdr:row>
                <xdr:rowOff>47625</xdr:rowOff>
              </to>
            </anchor>
          </controlPr>
        </control>
      </mc:Choice>
      <mc:Fallback>
        <control shapeId="6148" r:id="rId4" name="cmdClear104"/>
      </mc:Fallback>
    </mc:AlternateContent>
    <mc:AlternateContent xmlns:mc="http://schemas.openxmlformats.org/markup-compatibility/2006">
      <mc:Choice Requires="x14">
        <control shapeId="6147" r:id="rId6" name="cmdCopy104">
          <controlPr defaultSize="0" autoLine="0" r:id="rId7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6147" r:id="rId6" name="cmdCopy104"/>
      </mc:Fallback>
    </mc:AlternateContent>
    <mc:AlternateContent xmlns:mc="http://schemas.openxmlformats.org/markup-compatibility/2006">
      <mc:Choice Requires="x14">
        <control shapeId="6146" r:id="rId8" name="cmdClear87">
          <controlPr defaultSize="0" autoLine="0" autoPict="0" r:id="rId9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25</xdr:col>
                <xdr:colOff>476250</xdr:colOff>
                <xdr:row>87</xdr:row>
                <xdr:rowOff>76200</xdr:rowOff>
              </to>
            </anchor>
          </controlPr>
        </control>
      </mc:Choice>
      <mc:Fallback>
        <control shapeId="6146" r:id="rId8" name="cmdClear87"/>
      </mc:Fallback>
    </mc:AlternateContent>
    <mc:AlternateContent xmlns:mc="http://schemas.openxmlformats.org/markup-compatibility/2006">
      <mc:Choice Requires="x14">
        <control shapeId="6145" r:id="rId10" name="cmdCopy87">
          <controlPr defaultSize="0" autoLine="0" r:id="rId11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6145" r:id="rId10" name="cmdCopy8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7" transitionEvaluation="1" codeName="Sheet34">
    <pageSetUpPr fitToPage="1"/>
  </sheetPr>
  <dimension ref="A1:AO120"/>
  <sheetViews>
    <sheetView showGridLines="0" topLeftCell="A67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216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7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8"/>
      <c r="J6" s="8"/>
      <c r="K6" s="8" t="s">
        <v>88</v>
      </c>
      <c r="L6" s="9"/>
      <c r="M6" s="92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7" t="s">
        <v>3</v>
      </c>
      <c r="C7" s="177" t="s">
        <v>4</v>
      </c>
      <c r="D7" s="177" t="s">
        <v>5</v>
      </c>
      <c r="E7" s="177" t="s">
        <v>6</v>
      </c>
      <c r="F7" s="177" t="s">
        <v>7</v>
      </c>
      <c r="G7" s="177" t="s">
        <v>8</v>
      </c>
      <c r="H7" s="177" t="s">
        <v>9</v>
      </c>
      <c r="I7" s="177" t="s">
        <v>10</v>
      </c>
      <c r="J7" s="176" t="s">
        <v>11</v>
      </c>
      <c r="K7" s="177" t="s">
        <v>12</v>
      </c>
      <c r="L7" s="178" t="s">
        <v>13</v>
      </c>
      <c r="M7" s="181"/>
      <c r="N7" s="167"/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33" t="s">
        <v>21</v>
      </c>
      <c r="AB18" s="34"/>
      <c r="AC18" s="29"/>
      <c r="AD18" s="29"/>
      <c r="AE18" s="200" t="e">
        <f>IF($AE$22&lt;4.5,0,ROUND($AE$22/1000*2.54,2))</f>
        <v>#DIV/0!</v>
      </c>
      <c r="AF18" s="201"/>
      <c r="AG18" s="200" t="e">
        <f>IF($AE$22&lt;4.5,0,ROUND($AG$22/1000*2.54,2))</f>
        <v>#DIV/0!</v>
      </c>
      <c r="AH18" s="29" t="s">
        <v>69</v>
      </c>
      <c r="AI18" s="37"/>
      <c r="AJ18" s="34"/>
      <c r="AK18" s="111" t="e">
        <f>IF($AE$22&lt;4.5,0,2)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33" t="str">
        <f>IF($M$7="","",$M$7)</f>
        <v/>
      </c>
      <c r="AB19" s="34"/>
      <c r="AC19" s="217"/>
      <c r="AD19" s="29"/>
      <c r="AE19" s="30" t="e">
        <f>$M$104</f>
        <v>#DIV/0!</v>
      </c>
      <c r="AF19" s="31"/>
      <c r="AG19" s="161" t="e">
        <f>ROUND(($AG$13*AE19)/100,0)</f>
        <v>#DIV/0!</v>
      </c>
      <c r="AH19" s="165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tr">
        <f>IF($N$7="","",$N$7)</f>
        <v/>
      </c>
      <c r="AB20" s="34"/>
      <c r="AC20" s="217"/>
      <c r="AD20" s="29"/>
      <c r="AE20" s="163" t="e">
        <f>$N$104</f>
        <v>#DIV/0!</v>
      </c>
      <c r="AF20" s="164"/>
      <c r="AG20" s="163" t="e">
        <f>ROUND(($AG$13*AE20)/100,1)</f>
        <v>#DIV/0!</v>
      </c>
      <c r="AH20" s="165" t="s">
        <v>79</v>
      </c>
      <c r="AI20" s="30"/>
      <c r="AJ20" s="34"/>
      <c r="AK20" s="111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162" t="e">
        <f>ROUND(($AG$13*AE22)/100,0)</f>
        <v>#DIV/0!</v>
      </c>
      <c r="AH22" s="29" t="s">
        <v>70</v>
      </c>
      <c r="AI22" s="30"/>
      <c r="AJ22" s="34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2"/>
      <c r="AG23" s="44" t="e">
        <f>ROUND(($AG$13*AE23)/100,1)</f>
        <v>#DIV/0!</v>
      </c>
      <c r="AH23" s="41" t="s">
        <v>69</v>
      </c>
      <c r="AI23" s="42"/>
      <c r="AJ23" s="37"/>
    </row>
    <row r="24" spans="1:41" ht="21" x14ac:dyDescent="0.2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2"/>
      <c r="AG24" s="44" t="e">
        <f>ROUND(($AG$13*AE24)/100,1)</f>
        <v>#DIV/0!</v>
      </c>
      <c r="AH24" s="41" t="s">
        <v>69</v>
      </c>
      <c r="AI24" s="42"/>
      <c r="AJ24" s="40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Z25" s="4" t="e">
        <f>IF(AG25&lt;15,"","＊1")</f>
        <v>#DIV/0!</v>
      </c>
      <c r="AA25" s="33" t="s">
        <v>12</v>
      </c>
      <c r="AB25" s="29"/>
      <c r="AC25" s="29"/>
      <c r="AD25" s="29"/>
      <c r="AE25" s="200" t="e">
        <f>$K$104</f>
        <v>#DIV/0!</v>
      </c>
      <c r="AF25" s="47"/>
      <c r="AG25" s="200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Z26" s="4" t="e">
        <f>IF(OR(AND(AE26&gt;=0.3,AG26*VALUE(F6)&gt;=0.45),AE26&gt;=0.45,AND(AG13&gt;=100,AG26*VALUE(F6)&gt;=0.45)),"＊2","")</f>
        <v>#DIV/0!</v>
      </c>
      <c r="AA26" s="33" t="s">
        <v>28</v>
      </c>
      <c r="AB26" s="29"/>
      <c r="AC26" s="29"/>
      <c r="AD26" s="29"/>
      <c r="AE26" s="200" t="e">
        <f>$J$104</f>
        <v>#DIV/0!</v>
      </c>
      <c r="AF26" s="48"/>
      <c r="AG26" s="200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161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46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114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114"/>
      <c r="O45" s="4">
        <f t="shared" si="1"/>
        <v>0</v>
      </c>
      <c r="P45" s="50"/>
      <c r="Q45" s="50"/>
      <c r="R45" s="54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114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114"/>
      <c r="O47" s="4">
        <f t="shared" si="1"/>
        <v>0</v>
      </c>
      <c r="P47" s="50"/>
      <c r="Q47" s="50"/>
      <c r="AC47" s="66"/>
      <c r="AD47" s="66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</row>
    <row r="49" spans="1:33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>
        <f>M7</f>
        <v>0</v>
      </c>
      <c r="N52" s="14">
        <f>N7</f>
        <v>0</v>
      </c>
    </row>
    <row r="53" spans="1:33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2" t="str">
        <f t="shared" ref="A54:B54" si="14">IF(A9="","",A9)</f>
        <v/>
      </c>
      <c r="B54" s="199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3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  <c r="AA55" s="101"/>
    </row>
    <row r="56" spans="1:33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  <c r="AA56" s="101"/>
    </row>
    <row r="57" spans="1:33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</row>
    <row r="58" spans="1:33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</row>
    <row r="59" spans="1:33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3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3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3" x14ac:dyDescent="0.2">
      <c r="A62" s="112" t="str">
        <f t="shared" ref="A62:B62" si="22">IF(A17="","",A17)</f>
        <v/>
      </c>
      <c r="B62" s="199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  <c r="AA62" s="100" t="s">
        <v>45</v>
      </c>
    </row>
    <row r="63" spans="1:33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  <c r="AA63" s="130" t="s">
        <v>55</v>
      </c>
    </row>
    <row r="64" spans="1:33" ht="18.75" x14ac:dyDescent="0.3">
      <c r="A64" s="112" t="str">
        <f t="shared" ref="A64:B64" si="24">IF(A19="","",A19)</f>
        <v/>
      </c>
      <c r="B64" s="199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</row>
    <row r="66" spans="1:27" x14ac:dyDescent="0.2">
      <c r="A66" s="112" t="str">
        <f t="shared" ref="A66:B66" si="26">IF(A21="","",A21)</f>
        <v/>
      </c>
      <c r="B66" s="199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</row>
    <row r="67" spans="1:27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27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27" x14ac:dyDescent="0.2">
      <c r="A69" s="112" t="str">
        <f t="shared" ref="A69:B69" si="29">IF(A24="","",A24)</f>
        <v/>
      </c>
      <c r="B69" s="199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27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27" ht="18.75" x14ac:dyDescent="0.3">
      <c r="A71" s="112" t="str">
        <f t="shared" ref="A71:B71" si="31">IF(A26="","",A26)</f>
        <v/>
      </c>
      <c r="B71" s="199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  <c r="AA71" s="102" t="s">
        <v>46</v>
      </c>
    </row>
    <row r="72" spans="1:27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  <c r="AA72" s="103" t="s">
        <v>71</v>
      </c>
    </row>
    <row r="73" spans="1:27" x14ac:dyDescent="0.2">
      <c r="A73" s="112" t="str">
        <f t="shared" ref="A73:B73" si="33">IF(A28="","",A28)</f>
        <v/>
      </c>
      <c r="B73" s="199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3" t="s">
        <v>61</v>
      </c>
    </row>
    <row r="74" spans="1:27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62</v>
      </c>
    </row>
    <row r="75" spans="1:27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63</v>
      </c>
    </row>
    <row r="76" spans="1:27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64</v>
      </c>
    </row>
    <row r="77" spans="1:27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49"/>
    </row>
    <row r="78" spans="1:27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</row>
    <row r="79" spans="1:27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</row>
    <row r="80" spans="1:27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31" t="e">
        <v>#DIV/0!</v>
      </c>
      <c r="N87" s="323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L41/100*A91</f>
        <v>0</v>
      </c>
      <c r="M91" s="144">
        <f t="shared" ref="M91:N99" si="55">M41/100*A91</f>
        <v>0</v>
      </c>
      <c r="N91" s="69">
        <f t="shared" si="55"/>
        <v>0</v>
      </c>
    </row>
    <row r="92" spans="1:14" x14ac:dyDescent="0.2">
      <c r="A92" s="112" t="str">
        <f t="shared" ref="A92:B92" si="56">IF(A42="","",A42)</f>
        <v/>
      </c>
      <c r="B92" s="199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5"/>
        <v>0</v>
      </c>
    </row>
    <row r="93" spans="1:14" x14ac:dyDescent="0.2">
      <c r="A93" s="112" t="str">
        <f t="shared" ref="A93:B93" si="57">IF(A43="","",A43)</f>
        <v/>
      </c>
      <c r="B93" s="199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5"/>
        <v>0</v>
      </c>
    </row>
    <row r="94" spans="1:14" x14ac:dyDescent="0.2">
      <c r="A94" s="112" t="str">
        <f t="shared" ref="A94:B94" si="58">IF(A44="","",A44)</f>
        <v/>
      </c>
      <c r="B94" s="199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5"/>
        <v>0</v>
      </c>
    </row>
    <row r="95" spans="1:14" x14ac:dyDescent="0.2">
      <c r="A95" s="112" t="str">
        <f t="shared" ref="A95:B95" si="59">IF(A45="","",A45)</f>
        <v/>
      </c>
      <c r="B95" s="199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5"/>
        <v>0</v>
      </c>
    </row>
    <row r="96" spans="1:14" x14ac:dyDescent="0.2">
      <c r="A96" s="112" t="str">
        <f t="shared" ref="A96:B96" si="60">IF(A46="","",A46)</f>
        <v/>
      </c>
      <c r="B96" s="199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5"/>
        <v>0</v>
      </c>
    </row>
    <row r="97" spans="1:14" x14ac:dyDescent="0.2">
      <c r="A97" s="112" t="str">
        <f t="shared" ref="A97:B97" si="61">IF(A47="","",A47)</f>
        <v/>
      </c>
      <c r="B97" s="199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5"/>
        <v>0</v>
      </c>
    </row>
    <row r="98" spans="1:14" x14ac:dyDescent="0.2">
      <c r="A98" s="112" t="str">
        <f t="shared" ref="A98:B98" si="62">IF(A48="","",A48)</f>
        <v/>
      </c>
      <c r="B98" s="199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5"/>
        <v>0</v>
      </c>
    </row>
    <row r="99" spans="1:14" x14ac:dyDescent="0.2">
      <c r="A99" s="112" t="str">
        <f t="shared" ref="A99:B99" si="63">IF(A49="","",A49)</f>
        <v/>
      </c>
      <c r="B99" s="199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 t="e">
        <f t="shared" si="64"/>
        <v>#DIV/0!</v>
      </c>
      <c r="D100" s="61" t="e">
        <f t="shared" si="64"/>
        <v>#DIV/0!</v>
      </c>
      <c r="E100" s="61" t="e">
        <f t="shared" si="64"/>
        <v>#DIV/0!</v>
      </c>
      <c r="F100" s="61" t="e">
        <f t="shared" si="64"/>
        <v>#DIV/0!</v>
      </c>
      <c r="G100" s="61" t="e">
        <f t="shared" si="64"/>
        <v>#DIV/0!</v>
      </c>
      <c r="H100" s="61" t="e">
        <f t="shared" si="64"/>
        <v>#DIV/0!</v>
      </c>
      <c r="I100" s="62" t="e">
        <f t="shared" si="64"/>
        <v>#DIV/0!</v>
      </c>
      <c r="J100" s="62" t="e">
        <f t="shared" si="64"/>
        <v>#DIV/0!</v>
      </c>
      <c r="K100" s="62" t="e">
        <f t="shared" si="64"/>
        <v>#DIV/0!</v>
      </c>
      <c r="L100" s="61" t="e">
        <f t="shared" si="64"/>
        <v>#DIV/0!</v>
      </c>
      <c r="M100" s="143" t="e">
        <f t="shared" si="64"/>
        <v>#DIV/0!</v>
      </c>
      <c r="N100" s="62" t="e">
        <f t="shared" si="64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5">SUM(D90:D99)</f>
        <v>#DIV/0!</v>
      </c>
      <c r="E102" s="61" t="e">
        <f t="shared" si="65"/>
        <v>#DIV/0!</v>
      </c>
      <c r="F102" s="61" t="e">
        <f t="shared" si="65"/>
        <v>#DIV/0!</v>
      </c>
      <c r="G102" s="61" t="e">
        <f t="shared" si="65"/>
        <v>#DIV/0!</v>
      </c>
      <c r="H102" s="61" t="e">
        <f t="shared" si="65"/>
        <v>#DIV/0!</v>
      </c>
      <c r="I102" s="62" t="e">
        <f t="shared" si="65"/>
        <v>#DIV/0!</v>
      </c>
      <c r="J102" s="73" t="e">
        <f t="shared" si="65"/>
        <v>#DIV/0!</v>
      </c>
      <c r="K102" s="73" t="e">
        <f t="shared" si="65"/>
        <v>#DIV/0!</v>
      </c>
      <c r="L102" s="140" t="e">
        <f t="shared" si="65"/>
        <v>#DIV/0!</v>
      </c>
      <c r="M102" s="139" t="e">
        <f t="shared" si="65"/>
        <v>#DIV/0!</v>
      </c>
      <c r="N102" s="138" t="e">
        <f t="shared" si="65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26" t="e">
        <v>#DIV/0!</v>
      </c>
      <c r="J104" s="332" t="e">
        <v>#DIV/0!</v>
      </c>
      <c r="K104" s="332" t="e">
        <v>#DIV/0!</v>
      </c>
      <c r="L104" s="326" t="e">
        <v>#DIV/0!</v>
      </c>
      <c r="M104" s="333" t="e">
        <v>#DIV/0!</v>
      </c>
      <c r="N104" s="334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87" t="s">
        <v>178</v>
      </c>
      <c r="I106" s="288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89" t="s">
        <v>179</v>
      </c>
      <c r="I107" s="290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291" t="s">
        <v>180</v>
      </c>
      <c r="I108" s="292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4" t="e">
        <f>AA19&amp;":"&amp;TEXT(AG19,"G/標準")&amp;AH19&amp;CHAR(10)&amp; AA20&amp;":"&amp;TEXT(AG20,"g/標準")&amp;AH20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41" priority="8" stopIfTrue="1">
      <formula>$A$2="出力なし"</formula>
    </cfRule>
  </conditionalFormatting>
  <conditionalFormatting sqref="AG12:AI12">
    <cfRule type="expression" dxfId="40" priority="15" stopIfTrue="1">
      <formula>NOT(AG12="1個当たり")</formula>
    </cfRule>
  </conditionalFormatting>
  <conditionalFormatting sqref="AA31:AJ31">
    <cfRule type="expression" dxfId="39" priority="14" stopIfTrue="1">
      <formula>NOT(AA31="この表示値は、目安です。")</formula>
    </cfRule>
  </conditionalFormatting>
  <conditionalFormatting sqref="AG27">
    <cfRule type="expression" dxfId="38" priority="13" stopIfTrue="1">
      <formula>IF(AND(COUNTIF($A$6,"&lt;&gt;*様*"),$AE$27&lt;5),TRUE,FALSE)</formula>
    </cfRule>
  </conditionalFormatting>
  <conditionalFormatting sqref="AG26">
    <cfRule type="expression" dxfId="37" priority="12" stopIfTrue="1">
      <formula>IF(AND(COUNTIF($A$6,"&lt;&gt;*様*"),$AG$13&lt;100,$AE$26&lt;0.3),TRUE,FALSE)</formula>
    </cfRule>
  </conditionalFormatting>
  <conditionalFormatting sqref="AE23">
    <cfRule type="expression" dxfId="36" priority="11" stopIfTrue="1">
      <formula>IF($A$4="蒸し物",IF($AE$23&lt;30,TRUE,FALSE),FALSE)</formula>
    </cfRule>
  </conditionalFormatting>
  <conditionalFormatting sqref="Z25">
    <cfRule type="expression" dxfId="35" priority="6" stopIfTrue="1">
      <formula>COUNTIF($Z$25,"*1")</formula>
    </cfRule>
  </conditionalFormatting>
  <conditionalFormatting sqref="Z26">
    <cfRule type="expression" dxfId="34" priority="7" stopIfTrue="1">
      <formula>COUNTIF($Z$26,"*2")</formula>
    </cfRule>
  </conditionalFormatting>
  <conditionalFormatting sqref="AG12:AI12">
    <cfRule type="expression" dxfId="3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2" r:id="rId4" name="cmdClear104">
          <controlPr defaultSize="0" autoLine="0" autoPict="0" r:id="rId5">
            <anchor moveWithCells="1" sizeWithCells="1">
              <from>
                <xdr:col>22</xdr:col>
                <xdr:colOff>76200</xdr:colOff>
                <xdr:row>103</xdr:row>
                <xdr:rowOff>0</xdr:rowOff>
              </from>
              <to>
                <xdr:col>26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7172" r:id="rId4" name="cmdClear104"/>
      </mc:Fallback>
    </mc:AlternateContent>
    <mc:AlternateContent xmlns:mc="http://schemas.openxmlformats.org/markup-compatibility/2006">
      <mc:Choice Requires="x14">
        <control shapeId="7171" r:id="rId6" name="cmdCopy104">
          <controlPr defaultSize="0" autoLine="0" r:id="rId7">
            <anchor moveWithCells="1" sizeWithCells="1">
              <from>
                <xdr:col>15</xdr:col>
                <xdr:colOff>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7171" r:id="rId6" name="cmdCopy104"/>
      </mc:Fallback>
    </mc:AlternateContent>
    <mc:AlternateContent xmlns:mc="http://schemas.openxmlformats.org/markup-compatibility/2006">
      <mc:Choice Requires="x14">
        <control shapeId="7170" r:id="rId8" name="cmdClear87">
          <controlPr defaultSize="0" autoLine="0" autoPict="0" r:id="rId9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76200</xdr:rowOff>
              </to>
            </anchor>
          </controlPr>
        </control>
      </mc:Choice>
      <mc:Fallback>
        <control shapeId="7170" r:id="rId8" name="cmdClear87"/>
      </mc:Fallback>
    </mc:AlternateContent>
    <mc:AlternateContent xmlns:mc="http://schemas.openxmlformats.org/markup-compatibility/2006">
      <mc:Choice Requires="x14">
        <control shapeId="7169" r:id="rId10" name="cmdCopy87">
          <controlPr defaultSize="0" autoLine="0" r:id="rId11">
            <anchor moveWithCells="1" sizeWithCells="1">
              <from>
                <xdr:col>15</xdr:col>
                <xdr:colOff>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7169" r:id="rId10" name="cmdCopy87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3" transitionEvaluation="1" codeName="Sheet3">
    <pageSetUpPr fitToPage="1"/>
  </sheetPr>
  <dimension ref="A1:AO120"/>
  <sheetViews>
    <sheetView showGridLines="0" topLeftCell="A73" zoomScale="70" zoomScaleNormal="70" workbookViewId="0">
      <selection activeCell="N86" sqref="N86:N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1.25" style="220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221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1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1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N4" s="221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2" t="s">
        <v>1</v>
      </c>
      <c r="B5" s="362"/>
      <c r="C5" s="362"/>
      <c r="D5" s="362"/>
      <c r="E5" s="362"/>
      <c r="F5" s="184" t="s">
        <v>84</v>
      </c>
      <c r="G5" s="184" t="s">
        <v>85</v>
      </c>
      <c r="H5" s="184" t="s">
        <v>86</v>
      </c>
      <c r="I5" s="216" t="s">
        <v>174</v>
      </c>
      <c r="J5" s="2"/>
      <c r="K5" s="2" t="s">
        <v>87</v>
      </c>
      <c r="L5" s="3"/>
      <c r="M5" s="9" t="s">
        <v>82</v>
      </c>
      <c r="N5" s="221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8"/>
      <c r="J6" s="8"/>
      <c r="K6" s="8" t="s">
        <v>88</v>
      </c>
      <c r="L6" s="9"/>
      <c r="M6" s="92" t="s">
        <v>81</v>
      </c>
      <c r="N6" s="222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7" t="s">
        <v>10</v>
      </c>
      <c r="J7" s="176" t="s">
        <v>11</v>
      </c>
      <c r="K7" s="177" t="s">
        <v>12</v>
      </c>
      <c r="L7" s="179" t="s">
        <v>136</v>
      </c>
      <c r="M7" s="168"/>
      <c r="N7" s="236"/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237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237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237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237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237"/>
      <c r="O12" s="4">
        <f t="shared" si="0"/>
        <v>0</v>
      </c>
      <c r="AA12" s="17" t="s">
        <v>15</v>
      </c>
      <c r="AB12" s="5"/>
      <c r="AC12" s="5"/>
      <c r="AD12" s="20"/>
      <c r="AE12" s="356" t="s">
        <v>143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237"/>
      <c r="O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142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237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237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37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237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237"/>
      <c r="O18" s="4">
        <f t="shared" si="0"/>
        <v>0</v>
      </c>
      <c r="AA18" s="212" t="s">
        <v>129</v>
      </c>
      <c r="AB18" s="34"/>
      <c r="AC18" s="29"/>
      <c r="AD18" s="29"/>
      <c r="AE18" s="210" t="e">
        <f>$F$104</f>
        <v>#DIV/0!</v>
      </c>
      <c r="AF18" s="201"/>
      <c r="AG18" s="210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237"/>
      <c r="O19" s="4">
        <f t="shared" si="0"/>
        <v>0</v>
      </c>
      <c r="AA19" s="213" t="s">
        <v>130</v>
      </c>
      <c r="AB19" s="34"/>
      <c r="AC19" s="95"/>
      <c r="AD19" s="24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237"/>
      <c r="O20" s="4">
        <f t="shared" si="0"/>
        <v>0</v>
      </c>
      <c r="AA20" s="33" t="s">
        <v>21</v>
      </c>
      <c r="AB20" s="34"/>
      <c r="AC20" s="29"/>
      <c r="AD20" s="29"/>
      <c r="AE20" s="200" t="e">
        <f>IF($AE$24&lt;4.5,0,ROUND($AE$24/1000*2.54,2))</f>
        <v>#DIV/0!</v>
      </c>
      <c r="AF20" s="31"/>
      <c r="AG20" s="200" t="e">
        <f>IF($AE$24&lt;4.5,0,ROUND($AG$24/1000*2.54,2))</f>
        <v>#DIV/0!</v>
      </c>
      <c r="AH20" s="29" t="s">
        <v>69</v>
      </c>
      <c r="AI20" s="37"/>
      <c r="AJ20" s="34"/>
      <c r="AK20" s="111" t="e">
        <f>IF($AE$24&lt;4.5,0,2)</f>
        <v>#DIV/0!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237"/>
      <c r="O21" s="4">
        <f t="shared" si="0"/>
        <v>0</v>
      </c>
      <c r="AA21" s="33" t="str">
        <f>IF($M$7="","",$M$7)</f>
        <v/>
      </c>
      <c r="AB21" s="34"/>
      <c r="AC21" s="217"/>
      <c r="AD21" s="29"/>
      <c r="AE21" s="30" t="e">
        <f>$M$104</f>
        <v>#DIV/0!</v>
      </c>
      <c r="AF21" s="31"/>
      <c r="AG21" s="161" t="e">
        <f>ROUNDDOWN(($AG$13*AE21)/100,0)</f>
        <v>#DIV/0!</v>
      </c>
      <c r="AH21" s="165" t="s">
        <v>70</v>
      </c>
      <c r="AI21" s="30"/>
      <c r="AJ21" s="34"/>
      <c r="AK21" s="111">
        <v>0</v>
      </c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237"/>
      <c r="O22" s="4">
        <f t="shared" si="0"/>
        <v>0</v>
      </c>
      <c r="AA22" s="235"/>
      <c r="AB22" s="229"/>
      <c r="AC22" s="231"/>
      <c r="AD22" s="234"/>
      <c r="AE22" s="232"/>
      <c r="AF22" s="233"/>
      <c r="AG22" s="232"/>
      <c r="AH22" s="231"/>
      <c r="AI22" s="230"/>
      <c r="AJ22" s="229"/>
      <c r="AK22" s="228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237"/>
      <c r="O23" s="4">
        <f t="shared" si="0"/>
        <v>0</v>
      </c>
      <c r="AA23" s="227"/>
      <c r="AB23" s="223"/>
      <c r="AC23" s="24"/>
      <c r="AD23" s="24"/>
      <c r="AE23" s="225"/>
      <c r="AF23" s="226"/>
      <c r="AG23" s="225"/>
      <c r="AH23" s="24"/>
      <c r="AI23" s="224"/>
      <c r="AJ23" s="223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237"/>
      <c r="O24" s="4">
        <f t="shared" si="0"/>
        <v>0</v>
      </c>
      <c r="AA24" s="33" t="s">
        <v>141</v>
      </c>
      <c r="AB24" s="34"/>
      <c r="AC24" s="29"/>
      <c r="AD24" s="29"/>
      <c r="AE24" s="203" t="e">
        <f>$I$104</f>
        <v>#DIV/0!</v>
      </c>
      <c r="AF24" s="201"/>
      <c r="AG24" s="204" t="e">
        <f>ROUND(($AG$13*AE24)/100,0)</f>
        <v>#DIV/0!</v>
      </c>
      <c r="AH24" s="29" t="s">
        <v>70</v>
      </c>
      <c r="AI24" s="30"/>
      <c r="AJ24" s="34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237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69</v>
      </c>
      <c r="AI25" s="42"/>
      <c r="AJ25" s="37"/>
    </row>
    <row r="26" spans="1:41" ht="2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237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69</v>
      </c>
      <c r="AI26" s="42"/>
      <c r="AJ26" s="40"/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237"/>
      <c r="O27" s="4">
        <f t="shared" si="0"/>
        <v>0</v>
      </c>
      <c r="Z27" s="4" t="e">
        <f>IF(AG27&lt;15,"","＊1")</f>
        <v>#DIV/0!</v>
      </c>
      <c r="AA27" s="33" t="s">
        <v>12</v>
      </c>
      <c r="AB27" s="29"/>
      <c r="AC27" s="29"/>
      <c r="AD27" s="29"/>
      <c r="AE27" s="200" t="e">
        <f>$K$104</f>
        <v>#DIV/0!</v>
      </c>
      <c r="AF27" s="47"/>
      <c r="AG27" s="200" t="e">
        <f>ROUND(($AG$13*AE27)/100,2)</f>
        <v>#DIV/0!</v>
      </c>
      <c r="AH27" s="29" t="s">
        <v>69</v>
      </c>
      <c r="AI27" s="37"/>
      <c r="AJ27" s="34"/>
      <c r="AK27" s="111">
        <v>2</v>
      </c>
    </row>
    <row r="28" spans="1:41" ht="22.5" x14ac:dyDescent="0.25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237"/>
      <c r="O28" s="4">
        <f t="shared" si="0"/>
        <v>0</v>
      </c>
      <c r="Z28" s="4" t="e">
        <f>IF(OR(AND(AE28&gt;=0.3,AG28*VALUE(F6)&gt;=0.45),AE28&gt;=0.45,AND(AG13&gt;=100,AG28*VALUE(F6)&gt;=0.45)),"＊2","")</f>
        <v>#DIV/0!</v>
      </c>
      <c r="AA28" s="33" t="s">
        <v>28</v>
      </c>
      <c r="AB28" s="29"/>
      <c r="AC28" s="29"/>
      <c r="AD28" s="29"/>
      <c r="AE28" s="200" t="e">
        <f>$J$104</f>
        <v>#DIV/0!</v>
      </c>
      <c r="AF28" s="48"/>
      <c r="AG28" s="200" t="e">
        <f>ROUND(($AG$13*AE28)/100,2)</f>
        <v>#DIV/0!</v>
      </c>
      <c r="AH28" s="29" t="s">
        <v>69</v>
      </c>
      <c r="AI28" s="37"/>
      <c r="AJ28" s="34"/>
      <c r="AK28" s="111">
        <v>2</v>
      </c>
    </row>
    <row r="29" spans="1:41" ht="22.5" x14ac:dyDescent="0.25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237"/>
      <c r="O29" s="4">
        <f t="shared" si="0"/>
        <v>0</v>
      </c>
      <c r="AA29" s="33" t="s">
        <v>140</v>
      </c>
      <c r="AB29" s="29"/>
      <c r="AC29" s="29"/>
      <c r="AD29" s="29"/>
      <c r="AE29" s="98" t="e">
        <f>$L$104</f>
        <v>#DIV/0!</v>
      </c>
      <c r="AF29" s="48"/>
      <c r="AG29" s="161" t="e">
        <f>ROUND(($AG$13*AE29)/100,0)</f>
        <v>#DIV/0!</v>
      </c>
      <c r="AH29" s="29" t="s">
        <v>70</v>
      </c>
      <c r="AI29" s="37"/>
      <c r="AJ29" s="34"/>
      <c r="AK29" s="111"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237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237"/>
      <c r="O31" s="4">
        <f t="shared" si="0"/>
        <v>0</v>
      </c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237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237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237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237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237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237"/>
      <c r="O37" s="4">
        <f t="shared" si="0"/>
        <v>0</v>
      </c>
      <c r="S37" s="52"/>
      <c r="W37" s="52"/>
      <c r="AA37" s="5"/>
      <c r="AB37" s="5"/>
      <c r="AC37" s="108" t="s">
        <v>30</v>
      </c>
      <c r="AD37" s="108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222"/>
      <c r="O38" s="109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83">
        <f>M7</f>
        <v>0</v>
      </c>
      <c r="N39" s="236"/>
      <c r="R39" s="51"/>
      <c r="S39" s="52"/>
      <c r="AA39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238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237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237"/>
      <c r="O42" s="4">
        <f t="shared" si="1"/>
        <v>0</v>
      </c>
      <c r="Q42" s="50"/>
      <c r="R42" s="54"/>
      <c r="S42" s="52"/>
      <c r="AA42" s="64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237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58"/>
      <c r="N44" s="237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58"/>
      <c r="N45" s="237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58"/>
      <c r="N46" s="237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58"/>
      <c r="N47" s="237"/>
      <c r="O47" s="4">
        <f t="shared" si="1"/>
        <v>0</v>
      </c>
      <c r="P47" s="50"/>
      <c r="Q47" s="50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237"/>
      <c r="O48" s="4">
        <f t="shared" si="1"/>
        <v>0</v>
      </c>
      <c r="P48" s="50"/>
      <c r="Q48" s="50"/>
      <c r="AC48" s="65"/>
      <c r="AD48" s="65"/>
    </row>
    <row r="49" spans="1:30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237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222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222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136</v>
      </c>
      <c r="M52" s="183">
        <f>M7</f>
        <v>0</v>
      </c>
      <c r="N52" s="236"/>
    </row>
    <row r="53" spans="1:30" x14ac:dyDescent="0.2">
      <c r="A53" s="112" t="str">
        <f t="shared" ref="A53:B82" si="2">IF(A8="","",A8)</f>
        <v/>
      </c>
      <c r="B53" s="199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4">
        <f t="shared" ref="L53:L82" si="12">L8*B53/100</f>
        <v>0</v>
      </c>
      <c r="M53" s="153">
        <f t="shared" ref="M53:M82" si="13">M8*B53/100</f>
        <v>0</v>
      </c>
      <c r="N53" s="239"/>
    </row>
    <row r="54" spans="1:30" x14ac:dyDescent="0.2">
      <c r="A54" s="112" t="str">
        <f t="shared" si="2"/>
        <v/>
      </c>
      <c r="B54" s="199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4">
        <f t="shared" si="12"/>
        <v>0</v>
      </c>
      <c r="M54" s="153">
        <f t="shared" si="13"/>
        <v>0</v>
      </c>
      <c r="N54" s="239"/>
    </row>
    <row r="55" spans="1:30" x14ac:dyDescent="0.2">
      <c r="A55" s="112" t="str">
        <f t="shared" si="2"/>
        <v/>
      </c>
      <c r="B55" s="199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4">
        <f t="shared" si="12"/>
        <v>0</v>
      </c>
      <c r="M55" s="153">
        <f t="shared" si="13"/>
        <v>0</v>
      </c>
      <c r="N55" s="239"/>
    </row>
    <row r="56" spans="1:30" x14ac:dyDescent="0.2">
      <c r="A56" s="112" t="str">
        <f t="shared" si="2"/>
        <v/>
      </c>
      <c r="B56" s="199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4">
        <f t="shared" si="12"/>
        <v>0</v>
      </c>
      <c r="M56" s="153">
        <f t="shared" si="13"/>
        <v>0</v>
      </c>
      <c r="N56" s="239"/>
    </row>
    <row r="57" spans="1:30" x14ac:dyDescent="0.2">
      <c r="A57" s="112" t="str">
        <f t="shared" si="2"/>
        <v/>
      </c>
      <c r="B57" s="199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4">
        <f t="shared" si="12"/>
        <v>0</v>
      </c>
      <c r="M57" s="153">
        <f t="shared" si="13"/>
        <v>0</v>
      </c>
      <c r="N57" s="239"/>
      <c r="AA57" s="101"/>
    </row>
    <row r="58" spans="1:30" x14ac:dyDescent="0.2">
      <c r="A58" s="112" t="str">
        <f t="shared" si="2"/>
        <v/>
      </c>
      <c r="B58" s="199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4">
        <f t="shared" si="12"/>
        <v>0</v>
      </c>
      <c r="M58" s="153">
        <f t="shared" si="13"/>
        <v>0</v>
      </c>
      <c r="N58" s="239"/>
      <c r="AA58" s="101"/>
    </row>
    <row r="59" spans="1:30" x14ac:dyDescent="0.2">
      <c r="A59" s="112" t="str">
        <f t="shared" si="2"/>
        <v/>
      </c>
      <c r="B59" s="199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4">
        <f t="shared" si="12"/>
        <v>0</v>
      </c>
      <c r="M59" s="153">
        <f t="shared" si="13"/>
        <v>0</v>
      </c>
      <c r="N59" s="239"/>
    </row>
    <row r="60" spans="1:30" x14ac:dyDescent="0.2">
      <c r="A60" s="112" t="str">
        <f t="shared" si="2"/>
        <v/>
      </c>
      <c r="B60" s="199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4">
        <f t="shared" si="12"/>
        <v>0</v>
      </c>
      <c r="M60" s="153">
        <f t="shared" si="13"/>
        <v>0</v>
      </c>
      <c r="N60" s="239"/>
    </row>
    <row r="61" spans="1:30" x14ac:dyDescent="0.2">
      <c r="A61" s="112" t="str">
        <f t="shared" si="2"/>
        <v/>
      </c>
      <c r="B61" s="199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4">
        <f t="shared" si="12"/>
        <v>0</v>
      </c>
      <c r="M61" s="153">
        <f t="shared" si="13"/>
        <v>0</v>
      </c>
      <c r="N61" s="239"/>
    </row>
    <row r="62" spans="1:30" x14ac:dyDescent="0.2">
      <c r="A62" s="112" t="str">
        <f t="shared" si="2"/>
        <v/>
      </c>
      <c r="B62" s="199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4">
        <f t="shared" si="12"/>
        <v>0</v>
      </c>
      <c r="M62" s="153">
        <f t="shared" si="13"/>
        <v>0</v>
      </c>
      <c r="N62" s="239"/>
    </row>
    <row r="63" spans="1:30" x14ac:dyDescent="0.2">
      <c r="A63" s="112" t="str">
        <f t="shared" si="2"/>
        <v/>
      </c>
      <c r="B63" s="199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4">
        <f t="shared" si="12"/>
        <v>0</v>
      </c>
      <c r="M63" s="153">
        <f t="shared" si="13"/>
        <v>0</v>
      </c>
      <c r="N63" s="239"/>
    </row>
    <row r="64" spans="1:30" x14ac:dyDescent="0.2">
      <c r="A64" s="112" t="str">
        <f t="shared" si="2"/>
        <v/>
      </c>
      <c r="B64" s="199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4">
        <f t="shared" si="12"/>
        <v>0</v>
      </c>
      <c r="M64" s="153">
        <f t="shared" si="13"/>
        <v>0</v>
      </c>
      <c r="N64" s="239"/>
      <c r="AA64" s="100" t="s">
        <v>139</v>
      </c>
    </row>
    <row r="65" spans="1:33" x14ac:dyDescent="0.2">
      <c r="A65" s="112" t="str">
        <f t="shared" si="2"/>
        <v/>
      </c>
      <c r="B65" s="199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4">
        <f t="shared" si="12"/>
        <v>0</v>
      </c>
      <c r="M65" s="153">
        <f t="shared" si="13"/>
        <v>0</v>
      </c>
      <c r="N65" s="239"/>
      <c r="AA65" s="130" t="s">
        <v>138</v>
      </c>
    </row>
    <row r="66" spans="1:33" ht="18.75" x14ac:dyDescent="0.3">
      <c r="A66" s="112" t="str">
        <f t="shared" si="2"/>
        <v/>
      </c>
      <c r="B66" s="199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4">
        <f t="shared" si="12"/>
        <v>0</v>
      </c>
      <c r="M66" s="153">
        <f t="shared" si="13"/>
        <v>0</v>
      </c>
      <c r="N66" s="239"/>
      <c r="AA66" s="101" t="s">
        <v>137</v>
      </c>
      <c r="AC66" s="102"/>
      <c r="AE66" s="102"/>
      <c r="AF66" s="155"/>
      <c r="AG66" s="102"/>
    </row>
    <row r="67" spans="1:33" x14ac:dyDescent="0.2">
      <c r="A67" s="112" t="str">
        <f t="shared" si="2"/>
        <v/>
      </c>
      <c r="B67" s="199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4">
        <f t="shared" si="12"/>
        <v>0</v>
      </c>
      <c r="M67" s="153">
        <f t="shared" si="13"/>
        <v>0</v>
      </c>
      <c r="N67" s="239"/>
    </row>
    <row r="68" spans="1:33" x14ac:dyDescent="0.2">
      <c r="A68" s="112" t="str">
        <f t="shared" si="2"/>
        <v/>
      </c>
      <c r="B68" s="199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4">
        <f t="shared" si="12"/>
        <v>0</v>
      </c>
      <c r="M68" s="153">
        <f t="shared" si="13"/>
        <v>0</v>
      </c>
      <c r="N68" s="239"/>
    </row>
    <row r="69" spans="1:33" x14ac:dyDescent="0.2">
      <c r="A69" s="112" t="str">
        <f t="shared" si="2"/>
        <v/>
      </c>
      <c r="B69" s="199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4">
        <f t="shared" si="12"/>
        <v>0</v>
      </c>
      <c r="M69" s="153">
        <f t="shared" si="13"/>
        <v>0</v>
      </c>
      <c r="N69" s="239"/>
    </row>
    <row r="70" spans="1:33" x14ac:dyDescent="0.2">
      <c r="A70" s="112" t="str">
        <f t="shared" si="2"/>
        <v/>
      </c>
      <c r="B70" s="199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4">
        <f t="shared" si="12"/>
        <v>0</v>
      </c>
      <c r="M70" s="153">
        <f t="shared" si="13"/>
        <v>0</v>
      </c>
      <c r="N70" s="239"/>
    </row>
    <row r="71" spans="1:33" x14ac:dyDescent="0.2">
      <c r="A71" s="112" t="str">
        <f t="shared" si="2"/>
        <v/>
      </c>
      <c r="B71" s="199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4">
        <f t="shared" si="12"/>
        <v>0</v>
      </c>
      <c r="M71" s="153">
        <f t="shared" si="13"/>
        <v>0</v>
      </c>
      <c r="N71" s="239"/>
    </row>
    <row r="72" spans="1:33" x14ac:dyDescent="0.2">
      <c r="A72" s="112" t="str">
        <f t="shared" si="2"/>
        <v/>
      </c>
      <c r="B72" s="199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4">
        <f t="shared" si="12"/>
        <v>0</v>
      </c>
      <c r="M72" s="153">
        <f t="shared" si="13"/>
        <v>0</v>
      </c>
      <c r="N72" s="239"/>
    </row>
    <row r="73" spans="1:33" ht="18.75" x14ac:dyDescent="0.3">
      <c r="A73" s="112" t="str">
        <f t="shared" si="2"/>
        <v/>
      </c>
      <c r="B73" s="199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4">
        <f t="shared" si="12"/>
        <v>0</v>
      </c>
      <c r="M73" s="153">
        <f t="shared" si="13"/>
        <v>0</v>
      </c>
      <c r="N73" s="239"/>
      <c r="AA73" s="102" t="s">
        <v>46</v>
      </c>
    </row>
    <row r="74" spans="1:33" x14ac:dyDescent="0.2">
      <c r="A74" s="112" t="str">
        <f t="shared" si="2"/>
        <v/>
      </c>
      <c r="B74" s="199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4">
        <f t="shared" si="12"/>
        <v>0</v>
      </c>
      <c r="M74" s="153">
        <f t="shared" si="13"/>
        <v>0</v>
      </c>
      <c r="N74" s="239"/>
      <c r="AA74" s="103" t="s">
        <v>71</v>
      </c>
    </row>
    <row r="75" spans="1:33" x14ac:dyDescent="0.2">
      <c r="A75" s="112" t="str">
        <f t="shared" si="2"/>
        <v/>
      </c>
      <c r="B75" s="199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4">
        <f t="shared" si="12"/>
        <v>0</v>
      </c>
      <c r="M75" s="153">
        <f t="shared" si="13"/>
        <v>0</v>
      </c>
      <c r="N75" s="239"/>
      <c r="AA75" s="103" t="s">
        <v>61</v>
      </c>
    </row>
    <row r="76" spans="1:33" x14ac:dyDescent="0.2">
      <c r="A76" s="112" t="str">
        <f t="shared" si="2"/>
        <v/>
      </c>
      <c r="B76" s="199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4">
        <f t="shared" si="12"/>
        <v>0</v>
      </c>
      <c r="M76" s="153">
        <f t="shared" si="13"/>
        <v>0</v>
      </c>
      <c r="N76" s="239"/>
      <c r="AA76" s="103" t="s">
        <v>62</v>
      </c>
    </row>
    <row r="77" spans="1:33" x14ac:dyDescent="0.2">
      <c r="A77" s="112" t="str">
        <f t="shared" si="2"/>
        <v/>
      </c>
      <c r="B77" s="199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4">
        <f t="shared" si="12"/>
        <v>0</v>
      </c>
      <c r="M77" s="153">
        <f t="shared" si="13"/>
        <v>0</v>
      </c>
      <c r="N77" s="239"/>
      <c r="AA77" s="103" t="s">
        <v>63</v>
      </c>
    </row>
    <row r="78" spans="1:33" x14ac:dyDescent="0.2">
      <c r="A78" s="112" t="str">
        <f t="shared" si="2"/>
        <v/>
      </c>
      <c r="B78" s="199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4">
        <f t="shared" si="12"/>
        <v>0</v>
      </c>
      <c r="M78" s="153">
        <f t="shared" si="13"/>
        <v>0</v>
      </c>
      <c r="N78" s="239"/>
      <c r="AA78" s="103" t="s">
        <v>64</v>
      </c>
    </row>
    <row r="79" spans="1:33" x14ac:dyDescent="0.2">
      <c r="A79" s="112" t="str">
        <f t="shared" si="2"/>
        <v/>
      </c>
      <c r="B79" s="199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4">
        <f t="shared" si="12"/>
        <v>0</v>
      </c>
      <c r="M79" s="153">
        <f t="shared" si="13"/>
        <v>0</v>
      </c>
      <c r="N79" s="239"/>
      <c r="AA79" s="49"/>
    </row>
    <row r="80" spans="1:33" x14ac:dyDescent="0.2">
      <c r="A80" s="112" t="str">
        <f t="shared" si="2"/>
        <v/>
      </c>
      <c r="B80" s="199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4">
        <f t="shared" si="12"/>
        <v>0</v>
      </c>
      <c r="M80" s="153">
        <f t="shared" si="13"/>
        <v>0</v>
      </c>
      <c r="N80" s="239"/>
    </row>
    <row r="81" spans="1:14" x14ac:dyDescent="0.2">
      <c r="A81" s="112" t="str">
        <f t="shared" si="2"/>
        <v/>
      </c>
      <c r="B81" s="199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4">
        <f t="shared" si="12"/>
        <v>0</v>
      </c>
      <c r="M81" s="153">
        <f t="shared" si="13"/>
        <v>0</v>
      </c>
      <c r="N81" s="239"/>
    </row>
    <row r="82" spans="1:14" x14ac:dyDescent="0.2">
      <c r="A82" s="112" t="str">
        <f t="shared" si="2"/>
        <v/>
      </c>
      <c r="B82" s="199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4">
        <f t="shared" si="12"/>
        <v>0</v>
      </c>
      <c r="M82" s="153">
        <f t="shared" si="13"/>
        <v>0</v>
      </c>
      <c r="N82" s="239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3">
        <f t="shared" si="14"/>
        <v>0</v>
      </c>
      <c r="N83" s="240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239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2">
        <f t="shared" si="15"/>
        <v>0</v>
      </c>
      <c r="K85" s="152">
        <f t="shared" si="15"/>
        <v>0</v>
      </c>
      <c r="L85" s="151">
        <f t="shared" si="15"/>
        <v>0</v>
      </c>
      <c r="M85" s="150">
        <f t="shared" si="15"/>
        <v>0</v>
      </c>
      <c r="N85" s="241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389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31" t="e">
        <v>#DIV/0!</v>
      </c>
      <c r="N87" s="389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8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136</v>
      </c>
      <c r="M89" s="183">
        <f>M7</f>
        <v>0</v>
      </c>
      <c r="N89" s="389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389"/>
    </row>
    <row r="91" spans="1:14" x14ac:dyDescent="0.2">
      <c r="A91" s="112" t="str">
        <f t="shared" ref="A91:B99" si="16">IF(A41="","",A41)</f>
        <v/>
      </c>
      <c r="B91" s="199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L41/100*B91</f>
        <v>0</v>
      </c>
      <c r="M91" s="144">
        <f t="shared" ref="M91:M99" si="27">M41/100*B91</f>
        <v>0</v>
      </c>
      <c r="N91" s="389"/>
    </row>
    <row r="92" spans="1:14" x14ac:dyDescent="0.2">
      <c r="A92" s="112" t="str">
        <f t="shared" si="16"/>
        <v/>
      </c>
      <c r="B92" s="199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 t="shared" si="27"/>
        <v>0</v>
      </c>
      <c r="N92" s="389"/>
    </row>
    <row r="93" spans="1:14" x14ac:dyDescent="0.2">
      <c r="A93" s="112" t="str">
        <f t="shared" si="16"/>
        <v/>
      </c>
      <c r="B93" s="199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si="27"/>
        <v>0</v>
      </c>
      <c r="N93" s="389"/>
    </row>
    <row r="94" spans="1:14" x14ac:dyDescent="0.2">
      <c r="A94" s="112" t="str">
        <f t="shared" si="16"/>
        <v/>
      </c>
      <c r="B94" s="199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7"/>
        <v>0</v>
      </c>
      <c r="N94" s="389"/>
    </row>
    <row r="95" spans="1:14" x14ac:dyDescent="0.2">
      <c r="A95" s="112" t="str">
        <f t="shared" si="16"/>
        <v/>
      </c>
      <c r="B95" s="199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7"/>
        <v>0</v>
      </c>
      <c r="N95" s="389"/>
    </row>
    <row r="96" spans="1:14" x14ac:dyDescent="0.2">
      <c r="A96" s="112" t="str">
        <f t="shared" si="16"/>
        <v/>
      </c>
      <c r="B96" s="199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7"/>
        <v>0</v>
      </c>
      <c r="N96" s="389"/>
    </row>
    <row r="97" spans="1:14" x14ac:dyDescent="0.2">
      <c r="A97" s="112" t="str">
        <f t="shared" si="16"/>
        <v/>
      </c>
      <c r="B97" s="199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7"/>
        <v>0</v>
      </c>
      <c r="N97" s="389"/>
    </row>
    <row r="98" spans="1:14" x14ac:dyDescent="0.2">
      <c r="A98" s="112" t="str">
        <f t="shared" si="16"/>
        <v/>
      </c>
      <c r="B98" s="199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7"/>
        <v>0</v>
      </c>
      <c r="N98" s="389"/>
    </row>
    <row r="99" spans="1:14" x14ac:dyDescent="0.2">
      <c r="A99" s="112" t="str">
        <f t="shared" si="16"/>
        <v/>
      </c>
      <c r="B99" s="199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7"/>
        <v>0</v>
      </c>
      <c r="N99" s="389"/>
    </row>
    <row r="100" spans="1:14" x14ac:dyDescent="0.2">
      <c r="A100" s="10" t="s">
        <v>34</v>
      </c>
      <c r="B100" s="67">
        <f t="shared" ref="B100:M100" si="28">SUM(B90:B99)</f>
        <v>100</v>
      </c>
      <c r="C100" s="61" t="e">
        <f t="shared" si="28"/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1" t="e">
        <f t="shared" si="28"/>
        <v>#DIV/0!</v>
      </c>
      <c r="M100" s="143" t="e">
        <f t="shared" si="28"/>
        <v>#DIV/0!</v>
      </c>
      <c r="N100" s="389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389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140" t="e">
        <f t="shared" si="29"/>
        <v>#DIV/0!</v>
      </c>
      <c r="M102" s="139" t="e">
        <f t="shared" si="29"/>
        <v>#DIV/0!</v>
      </c>
      <c r="N102" s="389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389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40" t="e">
        <v>#DIV/0!</v>
      </c>
      <c r="J104" s="336" t="e">
        <v>#DIV/0!</v>
      </c>
      <c r="K104" s="336" t="e">
        <v>#DIV/0!</v>
      </c>
      <c r="L104" s="340" t="e">
        <v>#DIV/0!</v>
      </c>
      <c r="M104" s="333" t="e">
        <v>#DIV/0!</v>
      </c>
      <c r="N104" s="389"/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222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81" t="s">
        <v>178</v>
      </c>
      <c r="I106" s="282">
        <v>115</v>
      </c>
      <c r="J106" s="81"/>
      <c r="K106" s="81"/>
      <c r="L106" s="9"/>
      <c r="M106" s="9"/>
      <c r="N106" s="222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83" t="s">
        <v>179</v>
      </c>
      <c r="I107" s="284">
        <v>103</v>
      </c>
      <c r="J107" s="2"/>
      <c r="K107" s="2"/>
      <c r="L107" s="3"/>
      <c r="M107" s="3"/>
      <c r="N107" s="221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285" t="s">
        <v>180</v>
      </c>
      <c r="I108" s="286">
        <v>10.5</v>
      </c>
      <c r="J108" s="2"/>
      <c r="K108" s="2"/>
      <c r="L108" s="3"/>
      <c r="M108" s="3"/>
      <c r="N108" s="221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221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221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221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221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AG27</f>
        <v>#DIV/0!</v>
      </c>
      <c r="I113" s="120" t="e">
        <f>IF(AG13&gt;=100,AG28,IF(AE28&lt;0.3,0,AG28))</f>
        <v>#DIV/0!</v>
      </c>
      <c r="J113" s="122" t="e">
        <f>IF(AE29&lt;5,0,AG29)</f>
        <v>#DIV/0!</v>
      </c>
      <c r="K113" s="214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1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221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221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32" priority="5" stopIfTrue="1">
      <formula>$A$2="出力なし"</formula>
    </cfRule>
  </conditionalFormatting>
  <conditionalFormatting sqref="AG12:AI12">
    <cfRule type="expression" dxfId="31" priority="10" stopIfTrue="1">
      <formula>NOT(AG12="1個当たり")</formula>
    </cfRule>
  </conditionalFormatting>
  <conditionalFormatting sqref="AA31:AJ31">
    <cfRule type="expression" dxfId="30" priority="9" stopIfTrue="1">
      <formula>NOT(AA31="この表示値は、目安です。")</formula>
    </cfRule>
  </conditionalFormatting>
  <conditionalFormatting sqref="AG29">
    <cfRule type="expression" dxfId="29" priority="8" stopIfTrue="1">
      <formula>IF(AND(COUNTIF($A$6,"&lt;&gt;*様*"),$AE$29&lt;5),TRUE,FALSE)</formula>
    </cfRule>
  </conditionalFormatting>
  <conditionalFormatting sqref="AG28">
    <cfRule type="expression" dxfId="28" priority="7" stopIfTrue="1">
      <formula>IF(AND(COUNTIF($A$6,"&lt;&gt;*様*"),$AG$13&lt;100,$AE$28&lt;0.3),TRUE,FALSE)</formula>
    </cfRule>
  </conditionalFormatting>
  <conditionalFormatting sqref="AE25">
    <cfRule type="expression" dxfId="27" priority="6" stopIfTrue="1">
      <formula>IF($A$4="蒸し物",IF($AE$25&lt;30,TRUE,FALSE),FALSE)</formula>
    </cfRule>
  </conditionalFormatting>
  <conditionalFormatting sqref="Z27">
    <cfRule type="expression" dxfId="26" priority="3" stopIfTrue="1">
      <formula>COUNTIF($Z$27,"*1")</formula>
    </cfRule>
  </conditionalFormatting>
  <conditionalFormatting sqref="AG12:AI12">
    <cfRule type="expression" dxfId="25" priority="2" stopIfTrue="1">
      <formula>NOT(AG12="1個当たり")</formula>
    </cfRule>
  </conditionalFormatting>
  <conditionalFormatting sqref="Z28">
    <cfRule type="expression" dxfId="24" priority="1" stopIfTrue="1">
      <formula>COUNTIF($Z$28,"*2")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6" r:id="rId4" name="cmdClear104">
          <controlPr defaultSize="0" autoLine="0" r:id="rId5">
            <anchor moveWithCells="1" sizeWithCells="1">
              <from>
                <xdr:col>15</xdr:col>
                <xdr:colOff>104775</xdr:colOff>
                <xdr:row>103</xdr:row>
                <xdr:rowOff>0</xdr:rowOff>
              </from>
              <to>
                <xdr:col>21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8196" r:id="rId4" name="cmdClear104"/>
      </mc:Fallback>
    </mc:AlternateContent>
    <mc:AlternateContent xmlns:mc="http://schemas.openxmlformats.org/markup-compatibility/2006">
      <mc:Choice Requires="x14">
        <control shapeId="8195" r:id="rId6" name="cmdCopy104">
          <controlPr defaultSize="0" autoLine="0" r:id="rId7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14</xdr:col>
                <xdr:colOff>809625</xdr:colOff>
                <xdr:row>104</xdr:row>
                <xdr:rowOff>47625</xdr:rowOff>
              </to>
            </anchor>
          </controlPr>
        </control>
      </mc:Choice>
      <mc:Fallback>
        <control shapeId="8195" r:id="rId6" name="cmdCopy104"/>
      </mc:Fallback>
    </mc:AlternateContent>
    <mc:AlternateContent xmlns:mc="http://schemas.openxmlformats.org/markup-compatibility/2006">
      <mc:Choice Requires="x14">
        <control shapeId="8194" r:id="rId8" name="cmdClear87">
          <controlPr defaultSize="0" autoLine="0" r:id="rId9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8194" r:id="rId8" name="cmdClear87"/>
      </mc:Fallback>
    </mc:AlternateContent>
    <mc:AlternateContent xmlns:mc="http://schemas.openxmlformats.org/markup-compatibility/2006">
      <mc:Choice Requires="x14">
        <control shapeId="8193" r:id="rId10" name="cmdCopy87">
          <controlPr defaultSize="0" autoLine="0" r:id="rId11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14</xdr:col>
                <xdr:colOff>809625</xdr:colOff>
                <xdr:row>87</xdr:row>
                <xdr:rowOff>76200</xdr:rowOff>
              </to>
            </anchor>
          </controlPr>
        </control>
      </mc:Choice>
      <mc:Fallback>
        <control shapeId="8193" r:id="rId10" name="cmdCopy8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32">
    <pageSetUpPr fitToPage="1"/>
  </sheetPr>
  <dimension ref="A1:AO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127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2" t="s">
        <v>1</v>
      </c>
      <c r="B5" s="362"/>
      <c r="C5" s="362"/>
      <c r="D5" s="362"/>
      <c r="E5" s="362"/>
      <c r="F5" s="184" t="s">
        <v>84</v>
      </c>
      <c r="G5" s="184" t="s">
        <v>85</v>
      </c>
      <c r="H5" s="184" t="s">
        <v>86</v>
      </c>
      <c r="I5" s="216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8"/>
      <c r="J6" s="8"/>
      <c r="K6" s="8" t="s">
        <v>88</v>
      </c>
      <c r="L6" s="9"/>
      <c r="M6" s="92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7" t="s">
        <v>10</v>
      </c>
      <c r="J7" s="176" t="s">
        <v>11</v>
      </c>
      <c r="K7" s="177" t="s">
        <v>12</v>
      </c>
      <c r="L7" s="179" t="s">
        <v>13</v>
      </c>
      <c r="M7" s="168"/>
      <c r="N7" s="167"/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56" t="s">
        <v>65</v>
      </c>
      <c r="AF12" s="166"/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212" t="s">
        <v>129</v>
      </c>
      <c r="AB18" s="34"/>
      <c r="AC18" s="29"/>
      <c r="AD18" s="29"/>
      <c r="AE18" s="210" t="e">
        <f>$F$104</f>
        <v>#DIV/0!</v>
      </c>
      <c r="AF18" s="201"/>
      <c r="AG18" s="210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213" t="s">
        <v>130</v>
      </c>
      <c r="AB19" s="34"/>
      <c r="AC19" s="95"/>
      <c r="AD19" s="29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">
        <v>21</v>
      </c>
      <c r="AB20" s="34"/>
      <c r="AC20" s="29"/>
      <c r="AD20" s="29"/>
      <c r="AE20" s="200" t="e">
        <f>IF($AE$24&lt;4.5,0,ROUND($AE$24/1000*2.54,2))</f>
        <v>#DIV/0!</v>
      </c>
      <c r="AF20" s="31"/>
      <c r="AG20" s="200" t="e">
        <f>IF($AE$24&lt;4.5,0,ROUND($AG$24/1000*2.54,2))</f>
        <v>#DIV/0!</v>
      </c>
      <c r="AH20" s="29" t="s">
        <v>69</v>
      </c>
      <c r="AI20" s="37"/>
      <c r="AJ20" s="34"/>
      <c r="AK20" s="111" t="e">
        <f>IF($AE$24&lt;4.5,0,2)</f>
        <v>#DIV/0!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 t="str">
        <f>IF($M$7="","",$M$7)</f>
        <v/>
      </c>
      <c r="AB21" s="34"/>
      <c r="AC21" s="217"/>
      <c r="AD21" s="29"/>
      <c r="AE21" s="30" t="e">
        <f>$M$104</f>
        <v>#DIV/0!</v>
      </c>
      <c r="AF21" s="31"/>
      <c r="AG21" s="161" t="e">
        <f>ROUNDDOWN(($AG$13*AE21)/100,0)</f>
        <v>#DIV/0!</v>
      </c>
      <c r="AH21" s="165" t="s">
        <v>70</v>
      </c>
      <c r="AI21" s="30"/>
      <c r="AJ21" s="34"/>
      <c r="AK21" s="111">
        <v>0</v>
      </c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tr">
        <f>IF($N$7="","",$N$7)</f>
        <v/>
      </c>
      <c r="AB22" s="34"/>
      <c r="AC22" s="217"/>
      <c r="AD22" s="29"/>
      <c r="AE22" s="163" t="e">
        <f>$N$104</f>
        <v>#DIV/0!</v>
      </c>
      <c r="AF22" s="164"/>
      <c r="AG22" s="163" t="e">
        <f>ROUNDDOWN(($AG$13*AE22)/100,1)</f>
        <v>#DIV/0!</v>
      </c>
      <c r="AH22" s="165" t="s">
        <v>79</v>
      </c>
      <c r="AI22" s="30"/>
      <c r="AJ22" s="34"/>
      <c r="AK22" s="111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/>
      <c r="AB23" s="34"/>
      <c r="AC23" s="29"/>
      <c r="AD23" s="29"/>
      <c r="AE23" s="200"/>
      <c r="AF23" s="201"/>
      <c r="AG23" s="200"/>
      <c r="AH23" s="29"/>
      <c r="AI23" s="37"/>
      <c r="AJ23" s="34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22</v>
      </c>
      <c r="AB24" s="34"/>
      <c r="AC24" s="29"/>
      <c r="AD24" s="29"/>
      <c r="AE24" s="203" t="e">
        <f>$I$104</f>
        <v>#DIV/0!</v>
      </c>
      <c r="AF24" s="201"/>
      <c r="AG24" s="204" t="e">
        <f>ROUND(($AG$13*AE24)/100,0)</f>
        <v>#DIV/0!</v>
      </c>
      <c r="AH24" s="29" t="s">
        <v>70</v>
      </c>
      <c r="AI24" s="30"/>
      <c r="AJ24" s="34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69</v>
      </c>
      <c r="AI25" s="42"/>
      <c r="AJ25" s="37"/>
    </row>
    <row r="26" spans="1:41" ht="2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69</v>
      </c>
      <c r="AI26" s="42"/>
      <c r="AJ26" s="40"/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Z27" s="4" t="e">
        <f>IF(AG27&lt;15,"","＊1")</f>
        <v>#DIV/0!</v>
      </c>
      <c r="AA27" s="33" t="s">
        <v>12</v>
      </c>
      <c r="AB27" s="29"/>
      <c r="AC27" s="29"/>
      <c r="AD27" s="29"/>
      <c r="AE27" s="200" t="e">
        <f>$K$104</f>
        <v>#DIV/0!</v>
      </c>
      <c r="AF27" s="47"/>
      <c r="AG27" s="200" t="e">
        <f>ROUND(($AG$13*AE27)/100,2)</f>
        <v>#DIV/0!</v>
      </c>
      <c r="AH27" s="29" t="s">
        <v>69</v>
      </c>
      <c r="AI27" s="37"/>
      <c r="AJ27" s="34"/>
      <c r="AK27" s="111">
        <v>2</v>
      </c>
    </row>
    <row r="28" spans="1:41" ht="22.5" x14ac:dyDescent="0.25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  <c r="Z28" s="4" t="e">
        <f>IF(OR(AND(AE28&gt;=0.3,AG28*VALUE(F6)&gt;=0.45),AE28&gt;=0.45,AND(AG13&gt;=100,AG28*VALUE(F6)&gt;=0.45)),"＊2","")</f>
        <v>#DIV/0!</v>
      </c>
      <c r="AA28" s="33" t="s">
        <v>28</v>
      </c>
      <c r="AB28" s="29"/>
      <c r="AC28" s="29"/>
      <c r="AD28" s="29"/>
      <c r="AE28" s="200" t="e">
        <f>$J$104</f>
        <v>#DIV/0!</v>
      </c>
      <c r="AF28" s="48"/>
      <c r="AG28" s="200" t="e">
        <f>ROUND(($AG$13*AE28)/100,2)</f>
        <v>#DIV/0!</v>
      </c>
      <c r="AH28" s="29" t="s">
        <v>69</v>
      </c>
      <c r="AI28" s="37"/>
      <c r="AJ28" s="34"/>
      <c r="AK28" s="111">
        <v>2</v>
      </c>
    </row>
    <row r="29" spans="1:41" ht="22.5" x14ac:dyDescent="0.25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  <c r="AA29" s="33" t="s">
        <v>29</v>
      </c>
      <c r="AB29" s="29"/>
      <c r="AC29" s="29"/>
      <c r="AD29" s="29"/>
      <c r="AE29" s="98" t="e">
        <f>$L$104</f>
        <v>#DIV/0!</v>
      </c>
      <c r="AF29" s="48"/>
      <c r="AG29" s="161" t="e">
        <f>ROUND(($AG$13*AE29)/100,0)</f>
        <v>#DIV/0!</v>
      </c>
      <c r="AH29" s="29" t="s">
        <v>70</v>
      </c>
      <c r="AI29" s="37"/>
      <c r="AJ29" s="34"/>
      <c r="AK29" s="111"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48" t="s">
        <v>78</v>
      </c>
      <c r="AB31" s="348"/>
      <c r="AC31" s="348"/>
      <c r="AD31" s="348"/>
      <c r="AE31" s="348"/>
      <c r="AF31" s="348"/>
      <c r="AG31" s="348"/>
      <c r="AH31" s="348"/>
      <c r="AI31" s="348"/>
      <c r="AJ31" s="348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5"/>
      <c r="AB37" s="5"/>
      <c r="AC37" s="108" t="s">
        <v>30</v>
      </c>
      <c r="AD37" s="108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116</v>
      </c>
      <c r="K39" s="177" t="s">
        <v>117</v>
      </c>
      <c r="L39" s="178" t="s">
        <v>51</v>
      </c>
      <c r="M39" s="183">
        <f>M7</f>
        <v>0</v>
      </c>
      <c r="N39" s="182">
        <f>N7</f>
        <v>0</v>
      </c>
      <c r="R39" s="51"/>
      <c r="S39" s="52"/>
      <c r="AA39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</row>
    <row r="43" spans="1:41" x14ac:dyDescent="0.2">
      <c r="A43" s="190"/>
      <c r="B43" s="209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2"/>
      <c r="B44" s="198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58"/>
      <c r="N44" s="114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2"/>
      <c r="B45" s="198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58"/>
      <c r="N45" s="114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2"/>
      <c r="B46" s="198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58"/>
      <c r="N46" s="114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2"/>
      <c r="B47" s="198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58"/>
      <c r="N47" s="114"/>
      <c r="O47" s="4">
        <f t="shared" si="1"/>
        <v>0</v>
      </c>
      <c r="P47" s="50"/>
      <c r="Q47" s="50"/>
    </row>
    <row r="48" spans="1:41" x14ac:dyDescent="0.2">
      <c r="A48" s="112"/>
      <c r="B48" s="198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  <c r="AC48" s="65"/>
      <c r="AD48" s="65"/>
    </row>
    <row r="49" spans="1:30" x14ac:dyDescent="0.2">
      <c r="A49" s="112"/>
      <c r="B49" s="198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83">
        <f>M7</f>
        <v>0</v>
      </c>
      <c r="N52" s="182">
        <f>N7</f>
        <v>0</v>
      </c>
    </row>
    <row r="53" spans="1:30" x14ac:dyDescent="0.2">
      <c r="A53" s="112" t="str">
        <f>IF(A8="","",A8)</f>
        <v/>
      </c>
      <c r="B53" s="199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2" t="str">
        <f t="shared" ref="A54:B54" si="14">IF(A9="","",A9)</f>
        <v/>
      </c>
      <c r="B54" s="199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0" x14ac:dyDescent="0.2">
      <c r="A55" s="112" t="str">
        <f t="shared" ref="A55:B55" si="15">IF(A10="","",A10)</f>
        <v/>
      </c>
      <c r="B55" s="199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</row>
    <row r="56" spans="1:30" x14ac:dyDescent="0.2">
      <c r="A56" s="112" t="str">
        <f t="shared" ref="A56:B56" si="16">IF(A11="","",A11)</f>
        <v/>
      </c>
      <c r="B56" s="199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</row>
    <row r="57" spans="1:30" x14ac:dyDescent="0.2">
      <c r="A57" s="112" t="str">
        <f t="shared" ref="A57:B57" si="17">IF(A12="","",A12)</f>
        <v/>
      </c>
      <c r="B57" s="199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  <c r="AA57" s="101"/>
    </row>
    <row r="58" spans="1:30" x14ac:dyDescent="0.2">
      <c r="A58" s="112" t="str">
        <f t="shared" ref="A58:B58" si="18">IF(A13="","",A13)</f>
        <v/>
      </c>
      <c r="B58" s="199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  <c r="AA58" s="101"/>
    </row>
    <row r="59" spans="1:30" x14ac:dyDescent="0.2">
      <c r="A59" s="112" t="str">
        <f t="shared" ref="A59:B59" si="19">IF(A14="","",A14)</f>
        <v/>
      </c>
      <c r="B59" s="199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0" x14ac:dyDescent="0.2">
      <c r="A60" s="112" t="str">
        <f t="shared" ref="A60:B60" si="20">IF(A15="","",A15)</f>
        <v/>
      </c>
      <c r="B60" s="199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0" x14ac:dyDescent="0.2">
      <c r="A61" s="112" t="str">
        <f t="shared" ref="A61:B61" si="21">IF(A16="","",A16)</f>
        <v/>
      </c>
      <c r="B61" s="199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0" x14ac:dyDescent="0.2">
      <c r="A62" s="112" t="str">
        <f t="shared" ref="A62:B62" si="22">IF(A17="","",A17)</f>
        <v/>
      </c>
      <c r="B62" s="199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</row>
    <row r="63" spans="1:30" x14ac:dyDescent="0.2">
      <c r="A63" s="112" t="str">
        <f t="shared" ref="A63:B63" si="23">IF(A18="","",A18)</f>
        <v/>
      </c>
      <c r="B63" s="199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</row>
    <row r="64" spans="1:30" x14ac:dyDescent="0.2">
      <c r="A64" s="112" t="str">
        <f t="shared" ref="A64:B64" si="24">IF(A19="","",A19)</f>
        <v/>
      </c>
      <c r="B64" s="199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0" t="s">
        <v>45</v>
      </c>
    </row>
    <row r="65" spans="1:33" x14ac:dyDescent="0.2">
      <c r="A65" s="112" t="str">
        <f t="shared" ref="A65:B65" si="25">IF(A20="","",A20)</f>
        <v/>
      </c>
      <c r="B65" s="199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  <c r="AA65" s="130" t="s">
        <v>55</v>
      </c>
    </row>
    <row r="66" spans="1:33" ht="18.75" x14ac:dyDescent="0.3">
      <c r="A66" s="112" t="str">
        <f t="shared" ref="A66:B66" si="26">IF(A21="","",A21)</f>
        <v/>
      </c>
      <c r="B66" s="199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  <c r="AA66" s="101" t="s">
        <v>56</v>
      </c>
      <c r="AC66" s="102"/>
      <c r="AE66" s="102"/>
      <c r="AF66" s="155"/>
      <c r="AG66" s="102"/>
    </row>
    <row r="67" spans="1:33" x14ac:dyDescent="0.2">
      <c r="A67" s="112" t="str">
        <f t="shared" ref="A67:B67" si="27">IF(A22="","",A22)</f>
        <v/>
      </c>
      <c r="B67" s="199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33" x14ac:dyDescent="0.2">
      <c r="A68" s="112" t="str">
        <f t="shared" ref="A68:B68" si="28">IF(A23="","",A23)</f>
        <v/>
      </c>
      <c r="B68" s="199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33" x14ac:dyDescent="0.2">
      <c r="A69" s="112" t="str">
        <f t="shared" ref="A69:B69" si="29">IF(A24="","",A24)</f>
        <v/>
      </c>
      <c r="B69" s="199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33" x14ac:dyDescent="0.2">
      <c r="A70" s="112" t="str">
        <f t="shared" ref="A70:B70" si="30">IF(A25="","",A25)</f>
        <v/>
      </c>
      <c r="B70" s="199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33" x14ac:dyDescent="0.2">
      <c r="A71" s="112" t="str">
        <f t="shared" ref="A71:B71" si="31">IF(A26="","",A26)</f>
        <v/>
      </c>
      <c r="B71" s="199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</row>
    <row r="72" spans="1:33" x14ac:dyDescent="0.2">
      <c r="A72" s="112" t="str">
        <f t="shared" ref="A72:B72" si="32">IF(A27="","",A27)</f>
        <v/>
      </c>
      <c r="B72" s="199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</row>
    <row r="73" spans="1:33" ht="18.75" x14ac:dyDescent="0.3">
      <c r="A73" s="112" t="str">
        <f t="shared" ref="A73:B73" si="33">IF(A28="","",A28)</f>
        <v/>
      </c>
      <c r="B73" s="199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2" t="s">
        <v>46</v>
      </c>
    </row>
    <row r="74" spans="1:33" x14ac:dyDescent="0.2">
      <c r="A74" s="112" t="str">
        <f t="shared" ref="A74:B74" si="34">IF(A29="","",A29)</f>
        <v/>
      </c>
      <c r="B74" s="199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71</v>
      </c>
    </row>
    <row r="75" spans="1:33" x14ac:dyDescent="0.2">
      <c r="A75" s="112" t="str">
        <f t="shared" ref="A75:B75" si="35">IF(A30="","",A30)</f>
        <v/>
      </c>
      <c r="B75" s="199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61</v>
      </c>
    </row>
    <row r="76" spans="1:33" x14ac:dyDescent="0.2">
      <c r="A76" s="112" t="str">
        <f t="shared" ref="A76:B76" si="36">IF(A31="","",A31)</f>
        <v/>
      </c>
      <c r="B76" s="199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62</v>
      </c>
    </row>
    <row r="77" spans="1:33" x14ac:dyDescent="0.2">
      <c r="A77" s="112" t="str">
        <f t="shared" ref="A77:B77" si="37">IF(A32="","",A32)</f>
        <v/>
      </c>
      <c r="B77" s="199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103" t="s">
        <v>63</v>
      </c>
    </row>
    <row r="78" spans="1:33" x14ac:dyDescent="0.2">
      <c r="A78" s="112" t="str">
        <f t="shared" ref="A78:B78" si="38">IF(A33="","",A33)</f>
        <v/>
      </c>
      <c r="B78" s="199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  <c r="AA78" s="103" t="s">
        <v>64</v>
      </c>
    </row>
    <row r="79" spans="1:33" x14ac:dyDescent="0.2">
      <c r="A79" s="112" t="str">
        <f t="shared" ref="A79:B79" si="39">IF(A34="","",A34)</f>
        <v/>
      </c>
      <c r="B79" s="199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  <c r="AA79" s="49"/>
    </row>
    <row r="80" spans="1:33" x14ac:dyDescent="0.2">
      <c r="A80" s="112" t="str">
        <f t="shared" ref="A80:B80" si="40">IF(A35="","",A35)</f>
        <v/>
      </c>
      <c r="B80" s="199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9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9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71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23" t="e">
        <v>#DIV/0!</v>
      </c>
      <c r="M87" s="331" t="e">
        <v>#DIV/0!</v>
      </c>
      <c r="N87" s="323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83">
        <f>M7</f>
        <v>0</v>
      </c>
      <c r="N89" s="182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9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L41/100*B91</f>
        <v>0</v>
      </c>
      <c r="M91" s="144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2" t="str">
        <f t="shared" ref="A92:B92" si="57">IF(A42="","",A42)</f>
        <v/>
      </c>
      <c r="B92" s="199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6"/>
        <v>0</v>
      </c>
    </row>
    <row r="93" spans="1:14" x14ac:dyDescent="0.2">
      <c r="A93" s="112" t="str">
        <f t="shared" ref="A93:B93" si="58">IF(A43="","",A43)</f>
        <v/>
      </c>
      <c r="B93" s="199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6"/>
        <v>0</v>
      </c>
    </row>
    <row r="94" spans="1:14" x14ac:dyDescent="0.2">
      <c r="A94" s="112" t="str">
        <f t="shared" ref="A94:B94" si="59">IF(A44="","",A44)</f>
        <v/>
      </c>
      <c r="B94" s="199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6"/>
        <v>0</v>
      </c>
    </row>
    <row r="95" spans="1:14" x14ac:dyDescent="0.2">
      <c r="A95" s="112" t="str">
        <f t="shared" ref="A95:B95" si="60">IF(A45="","",A45)</f>
        <v/>
      </c>
      <c r="B95" s="199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6"/>
        <v>0</v>
      </c>
    </row>
    <row r="96" spans="1:14" x14ac:dyDescent="0.2">
      <c r="A96" s="112" t="str">
        <f t="shared" ref="A96:B96" si="61">IF(A46="","",A46)</f>
        <v/>
      </c>
      <c r="B96" s="199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6"/>
        <v>0</v>
      </c>
    </row>
    <row r="97" spans="1:14" x14ac:dyDescent="0.2">
      <c r="A97" s="112" t="str">
        <f t="shared" ref="A97:B97" si="62">IF(A47="","",A47)</f>
        <v/>
      </c>
      <c r="B97" s="199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6"/>
        <v>0</v>
      </c>
    </row>
    <row r="98" spans="1:14" x14ac:dyDescent="0.2">
      <c r="A98" s="112" t="str">
        <f t="shared" ref="A98:B98" si="63">IF(A48="","",A48)</f>
        <v/>
      </c>
      <c r="B98" s="199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6"/>
        <v>0</v>
      </c>
    </row>
    <row r="99" spans="1:14" x14ac:dyDescent="0.2">
      <c r="A99" s="112" t="str">
        <f t="shared" ref="A99:B99" si="64">IF(A49="","",A49)</f>
        <v/>
      </c>
      <c r="B99" s="199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 t="e">
        <f t="shared" si="65"/>
        <v>#DIV/0!</v>
      </c>
      <c r="D100" s="61" t="e">
        <f t="shared" si="65"/>
        <v>#DIV/0!</v>
      </c>
      <c r="E100" s="61" t="e">
        <f t="shared" si="65"/>
        <v>#DIV/0!</v>
      </c>
      <c r="F100" s="61" t="e">
        <f t="shared" si="65"/>
        <v>#DIV/0!</v>
      </c>
      <c r="G100" s="61" t="e">
        <f t="shared" si="65"/>
        <v>#DIV/0!</v>
      </c>
      <c r="H100" s="61" t="e">
        <f t="shared" si="65"/>
        <v>#DIV/0!</v>
      </c>
      <c r="I100" s="62" t="e">
        <f t="shared" si="65"/>
        <v>#DIV/0!</v>
      </c>
      <c r="J100" s="62" t="e">
        <f t="shared" si="65"/>
        <v>#DIV/0!</v>
      </c>
      <c r="K100" s="62" t="e">
        <f t="shared" si="65"/>
        <v>#DIV/0!</v>
      </c>
      <c r="L100" s="61" t="e">
        <f t="shared" si="65"/>
        <v>#DIV/0!</v>
      </c>
      <c r="M100" s="143" t="e">
        <f t="shared" si="65"/>
        <v>#DIV/0!</v>
      </c>
      <c r="N100" s="62" t="e">
        <f t="shared" si="65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6">SUM(D90:D99)</f>
        <v>#DIV/0!</v>
      </c>
      <c r="E102" s="61" t="e">
        <f t="shared" si="66"/>
        <v>#DIV/0!</v>
      </c>
      <c r="F102" s="61" t="e">
        <f t="shared" si="66"/>
        <v>#DIV/0!</v>
      </c>
      <c r="G102" s="61" t="e">
        <f t="shared" si="66"/>
        <v>#DIV/0!</v>
      </c>
      <c r="H102" s="61" t="e">
        <f t="shared" si="66"/>
        <v>#DIV/0!</v>
      </c>
      <c r="I102" s="62" t="e">
        <f t="shared" si="66"/>
        <v>#DIV/0!</v>
      </c>
      <c r="J102" s="73" t="e">
        <f t="shared" si="66"/>
        <v>#DIV/0!</v>
      </c>
      <c r="K102" s="73" t="e">
        <f t="shared" si="66"/>
        <v>#DIV/0!</v>
      </c>
      <c r="L102" s="140" t="e">
        <f t="shared" si="66"/>
        <v>#DIV/0!</v>
      </c>
      <c r="M102" s="139" t="e">
        <f t="shared" si="66"/>
        <v>#DIV/0!</v>
      </c>
      <c r="N102" s="138" t="e">
        <f t="shared" si="66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133" t="e">
        <f>F103+100-B103</f>
        <v>#DIV/0!</v>
      </c>
      <c r="G104" s="326" t="e">
        <v>#DIV/0!</v>
      </c>
      <c r="H104" s="326" t="e">
        <v>#DIV/0!</v>
      </c>
      <c r="I104" s="340" t="e">
        <v>#DIV/0!</v>
      </c>
      <c r="J104" s="336" t="e">
        <v>#DIV/0!</v>
      </c>
      <c r="K104" s="336" t="e">
        <v>#DIV/0!</v>
      </c>
      <c r="L104" s="340" t="e">
        <v>#DIV/0!</v>
      </c>
      <c r="M104" s="333" t="e">
        <v>#DIV/0!</v>
      </c>
      <c r="N104" s="334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5" t="s">
        <v>128</v>
      </c>
      <c r="B106" s="206"/>
      <c r="C106" s="208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75" t="s">
        <v>178</v>
      </c>
      <c r="I106" s="276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77" t="s">
        <v>179</v>
      </c>
      <c r="I107" s="278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279" t="s">
        <v>180</v>
      </c>
      <c r="I108" s="280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 t="e">
        <f>AG12</f>
        <v>#VALUE!</v>
      </c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AG27</f>
        <v>#DIV/0!</v>
      </c>
      <c r="I113" s="120" t="e">
        <f>IF(AG13&gt;=100,AG28,IF(AE28&lt;0.3,0,AG28))</f>
        <v>#DIV/0!</v>
      </c>
      <c r="J113" s="122" t="e">
        <f>IF(AE29&lt;5,0,AG29)</f>
        <v>#DIV/0!</v>
      </c>
      <c r="K113" s="214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5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23" priority="10" stopIfTrue="1">
      <formula>$A$2="出力なし"</formula>
    </cfRule>
  </conditionalFormatting>
  <conditionalFormatting sqref="AG12:AI12">
    <cfRule type="expression" dxfId="22" priority="15" stopIfTrue="1">
      <formula>NOT(AG12="1個当たり")</formula>
    </cfRule>
  </conditionalFormatting>
  <conditionalFormatting sqref="AA31:AJ31">
    <cfRule type="expression" dxfId="21" priority="14" stopIfTrue="1">
      <formula>NOT(AA31="この表示値は、目安です。")</formula>
    </cfRule>
  </conditionalFormatting>
  <conditionalFormatting sqref="AG29">
    <cfRule type="expression" dxfId="20" priority="13" stopIfTrue="1">
      <formula>IF(AND(COUNTIF($A$6,"&lt;&gt;*様*"),$AE$29&lt;5),TRUE,FALSE)</formula>
    </cfRule>
  </conditionalFormatting>
  <conditionalFormatting sqref="AG28">
    <cfRule type="expression" dxfId="19" priority="12" stopIfTrue="1">
      <formula>IF(AND(COUNTIF($A$6,"&lt;&gt;*様*"),$AG$13&lt;100,$AE$28&lt;0.3),TRUE,FALSE)</formula>
    </cfRule>
  </conditionalFormatting>
  <conditionalFormatting sqref="AE25">
    <cfRule type="expression" dxfId="18" priority="11" stopIfTrue="1">
      <formula>IF($A$4="蒸し物",IF($AE$25&lt;30,TRUE,FALSE),FALSE)</formula>
    </cfRule>
  </conditionalFormatting>
  <conditionalFormatting sqref="Z27">
    <cfRule type="expression" dxfId="17" priority="8" stopIfTrue="1">
      <formula>COUNTIF($Z$27,"*1")</formula>
    </cfRule>
  </conditionalFormatting>
  <conditionalFormatting sqref="Z28">
    <cfRule type="expression" dxfId="16" priority="9" stopIfTrue="1">
      <formula>COUNTIF($Z$28,"*2")</formula>
    </cfRule>
  </conditionalFormatting>
  <conditionalFormatting sqref="AG12:AI12">
    <cfRule type="expression" dxfId="1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20" r:id="rId4" name="cmdClear104">
          <controlPr defaultSize="0" autoLine="0" autoPict="0" r:id="rId5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9220" r:id="rId4" name="cmdClear104"/>
      </mc:Fallback>
    </mc:AlternateContent>
    <mc:AlternateContent xmlns:mc="http://schemas.openxmlformats.org/markup-compatibility/2006">
      <mc:Choice Requires="x14">
        <control shapeId="9219" r:id="rId6" name="cmdCopy104">
          <controlPr defaultSize="0" autoLine="0" r:id="rId7">
            <anchor moveWithCells="1" sizeWithCells="1">
              <from>
                <xdr:col>15</xdr:col>
                <xdr:colOff>9525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9219" r:id="rId6" name="cmdCopy104"/>
      </mc:Fallback>
    </mc:AlternateContent>
    <mc:AlternateContent xmlns:mc="http://schemas.openxmlformats.org/markup-compatibility/2006">
      <mc:Choice Requires="x14">
        <control shapeId="9218" r:id="rId8" name="cmdClear87">
          <controlPr defaultSize="0" autoLine="0" autoPict="0" r:id="rId9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8" r:id="rId8" name="cmdClear87"/>
      </mc:Fallback>
    </mc:AlternateContent>
    <mc:AlternateContent xmlns:mc="http://schemas.openxmlformats.org/markup-compatibility/2006">
      <mc:Choice Requires="x14">
        <control shapeId="9217" r:id="rId10" name="cmdCopy87">
          <controlPr defaultSize="0" autoLine="0" r:id="rId11">
            <anchor moveWithCells="1" sizeWithCells="1">
              <from>
                <xdr:col>15</xdr:col>
                <xdr:colOff>9525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7" r:id="rId10" name="cmdCopy87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35"/>
  <dimension ref="A1:AK130"/>
  <sheetViews>
    <sheetView showGridLines="0" topLeftCell="A6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88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145</v>
      </c>
    </row>
    <row r="2" spans="1:37" x14ac:dyDescent="0.2">
      <c r="A2" s="128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132</v>
      </c>
      <c r="B4" s="2"/>
      <c r="C4" s="2"/>
      <c r="D4" s="2"/>
      <c r="E4" s="2"/>
      <c r="F4" s="242" t="s">
        <v>144</v>
      </c>
      <c r="G4" s="345"/>
      <c r="H4" s="34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50" t="s">
        <v>1</v>
      </c>
      <c r="B5" s="351"/>
      <c r="C5" s="351"/>
      <c r="D5" s="351"/>
      <c r="E5" s="352"/>
      <c r="F5" s="169" t="s">
        <v>84</v>
      </c>
      <c r="G5" s="169" t="s">
        <v>85</v>
      </c>
      <c r="H5" s="169" t="s">
        <v>86</v>
      </c>
      <c r="I5" s="216" t="s">
        <v>172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243" t="str">
        <f>$I$5</f>
        <v>年月日</v>
      </c>
      <c r="AJ5" s="5"/>
    </row>
    <row r="6" spans="1:37" ht="21" x14ac:dyDescent="0.2">
      <c r="A6" s="353"/>
      <c r="B6" s="354"/>
      <c r="C6" s="354"/>
      <c r="D6" s="354"/>
      <c r="E6" s="355"/>
      <c r="F6" s="170"/>
      <c r="G6" s="171"/>
      <c r="H6" s="172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8" t="s">
        <v>124</v>
      </c>
      <c r="AA7" s="17" t="s">
        <v>14</v>
      </c>
      <c r="AB7" s="358" t="e">
        <f>IF(COUNTIF($F$6,"1"),CONCATENATE($A$6,"(",$H$6,")"),CONCATENATE($A$6,$F$6,$G$6,"入","(",$H$6,")"))</f>
        <v>#VALUE!</v>
      </c>
      <c r="AC7" s="358"/>
      <c r="AD7" s="358"/>
      <c r="AE7" s="358"/>
      <c r="AF7" s="358"/>
      <c r="AG7" s="358"/>
      <c r="AH7" s="358"/>
      <c r="AI7" s="358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>SUM(C8:H8)</f>
        <v>0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56" t="s">
        <v>143</v>
      </c>
      <c r="AG12" s="359" t="e">
        <f>"1"&amp;$G$6&amp;"当たり"</f>
        <v>#VALUE!</v>
      </c>
      <c r="AH12" s="359"/>
      <c r="AI12" s="359"/>
      <c r="AJ12" s="21"/>
      <c r="AK12" s="347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57"/>
      <c r="AF13" s="20"/>
      <c r="AG13" s="211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347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Z17" s="188" t="e">
        <f>IF(AG17&lt;15,"","＊1")</f>
        <v>#DIV/0!</v>
      </c>
      <c r="AA17" s="33" t="s">
        <v>146</v>
      </c>
      <c r="AB17" s="29"/>
      <c r="AC17" s="29"/>
      <c r="AD17" s="29"/>
      <c r="AE17" s="200" t="e">
        <f>$K$104</f>
        <v>#DIV/0!</v>
      </c>
      <c r="AF17" s="47"/>
      <c r="AG17" s="200" t="e">
        <f>ROUND(($AG$13*AE17)/100,2)</f>
        <v>#DIV/0!</v>
      </c>
      <c r="AH17" s="29" t="s">
        <v>69</v>
      </c>
      <c r="AI17" s="37"/>
      <c r="AJ17" s="34"/>
      <c r="AK17" s="111">
        <v>2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Z18" s="188" t="e">
        <f>IF(OR(AND(AE18&gt;=0.3,AG18*VALUE(F6)&gt;=0.45),AE18&gt;=0.45),"＊2","")</f>
        <v>#DIV/0!</v>
      </c>
      <c r="AA18" s="33" t="s">
        <v>147</v>
      </c>
      <c r="AB18" s="29"/>
      <c r="AC18" s="29"/>
      <c r="AD18" s="29"/>
      <c r="AE18" s="244" t="e">
        <f>$J$104</f>
        <v>#DIV/0!</v>
      </c>
      <c r="AF18" s="48"/>
      <c r="AG18" s="200" t="e">
        <f>IF(AND($AG$13&lt;100,$AE$18&lt;0.3),0,(ROUND(($AG$13*AE18)/100,2)))</f>
        <v>#DIV/0!</v>
      </c>
      <c r="AH18" s="29" t="s">
        <v>69</v>
      </c>
      <c r="AI18" s="37"/>
      <c r="AJ18" s="34"/>
      <c r="AK18" s="111">
        <v>0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33" t="s">
        <v>148</v>
      </c>
      <c r="AB19" s="29"/>
      <c r="AC19" s="29"/>
      <c r="AD19" s="29"/>
      <c r="AE19" s="245" t="e">
        <f>$L$104</f>
        <v>#DIV/0!</v>
      </c>
      <c r="AF19" s="48"/>
      <c r="AG19" s="244" t="e">
        <f>IF($AE$19&lt;5,0,(ROUND(($AG$13*AE19)/100,0)))</f>
        <v>#DIV/0!</v>
      </c>
      <c r="AH19" s="29" t="s">
        <v>70</v>
      </c>
      <c r="AI19" s="37"/>
      <c r="AJ19" s="34"/>
      <c r="AK19" s="111">
        <v>0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1">
        <v>1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1">
        <v>1</v>
      </c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94" t="s">
        <v>44</v>
      </c>
      <c r="AB22" s="34"/>
      <c r="AC22" s="95"/>
      <c r="AD22" s="29"/>
      <c r="AE22" s="32" t="e">
        <f>$G$104</f>
        <v>#DIV/0!</v>
      </c>
      <c r="AF22" s="31"/>
      <c r="AG22" s="32" t="e">
        <f>ROUND(($AG$13*AE22)/100,1)</f>
        <v>#DIV/0!</v>
      </c>
      <c r="AH22" s="95" t="s">
        <v>69</v>
      </c>
      <c r="AI22" s="37"/>
      <c r="AJ22" s="34"/>
      <c r="AK22" s="111">
        <v>1</v>
      </c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21</v>
      </c>
      <c r="AB23" s="34"/>
      <c r="AC23" s="29"/>
      <c r="AD23" s="29"/>
      <c r="AE23" s="246" t="e">
        <f>ROUND($AE$25/1000*2.54,1)</f>
        <v>#DIV/0!</v>
      </c>
      <c r="AF23" s="31"/>
      <c r="AG23" s="246" t="e">
        <f>ROUND($AG$25/1000*2.54,1)</f>
        <v>#DIV/0!</v>
      </c>
      <c r="AH23" s="29" t="s">
        <v>69</v>
      </c>
      <c r="AI23" s="30"/>
      <c r="AJ23" s="34"/>
      <c r="AK23" s="111">
        <f>IF(COUNTIF($AG$25,"&lt;4.5"),0,2)</f>
        <v>2</v>
      </c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149</v>
      </c>
      <c r="AB25" s="34"/>
      <c r="AC25" s="29"/>
      <c r="AD25" s="29"/>
      <c r="AE25" s="30" t="e">
        <f>$I$104</f>
        <v>#DIV/0!</v>
      </c>
      <c r="AF25" s="31"/>
      <c r="AG25" s="30" t="e">
        <f>ROUND(($AG$13*AE25)/100,0)</f>
        <v>#DIV/0!</v>
      </c>
      <c r="AH25" s="29" t="s">
        <v>70</v>
      </c>
      <c r="AI25" s="42"/>
      <c r="AJ25" s="40"/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A26" s="33" t="s">
        <v>23</v>
      </c>
      <c r="AB26" s="40"/>
      <c r="AC26" s="41"/>
      <c r="AD26" s="41"/>
      <c r="AE26" s="42" t="e">
        <f>$C$104</f>
        <v>#DIV/0!</v>
      </c>
      <c r="AF26" s="43"/>
      <c r="AG26" s="44" t="e">
        <f>ROUND(($AG$13*AE26)/100,1)</f>
        <v>#DIV/0!</v>
      </c>
      <c r="AH26" s="41" t="s">
        <v>69</v>
      </c>
      <c r="AI26" s="37"/>
      <c r="AJ26" s="34"/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26</v>
      </c>
      <c r="AB27" s="40"/>
      <c r="AC27" s="41"/>
      <c r="AD27" s="41"/>
      <c r="AE27" s="42" t="e">
        <f>$H$104</f>
        <v>#DIV/0!</v>
      </c>
      <c r="AF27" s="43"/>
      <c r="AG27" s="44" t="e">
        <f>ROUND(($AG$13*AE27)/100,1)</f>
        <v>#DIV/0!</v>
      </c>
      <c r="AH27" s="41" t="s">
        <v>69</v>
      </c>
      <c r="AI27" s="37"/>
      <c r="AJ27" s="34"/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360" t="s">
        <v>78</v>
      </c>
      <c r="AB31" s="360"/>
      <c r="AC31" s="360"/>
      <c r="AD31" s="360"/>
      <c r="AE31" s="360"/>
      <c r="AF31" s="360"/>
      <c r="AG31" s="360"/>
      <c r="AH31" s="360"/>
      <c r="AI31" s="360"/>
      <c r="AJ31" s="360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247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</v>
      </c>
      <c r="K39" s="177" t="s">
        <v>12</v>
      </c>
      <c r="L39" s="178" t="s">
        <v>150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248"/>
      <c r="AA42" s="110"/>
      <c r="AB42" s="109"/>
      <c r="AC42" s="109"/>
      <c r="AD42" s="109"/>
      <c r="AE42" s="109"/>
    </row>
    <row r="43" spans="1:37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Y43" s="109"/>
      <c r="Z43" s="248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248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248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248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248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248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248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249"/>
      <c r="K50" s="8"/>
      <c r="L50" s="57"/>
      <c r="Y50" s="109"/>
      <c r="Z50" s="248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09"/>
      <c r="Z51" s="248"/>
      <c r="AA51" s="50"/>
      <c r="AB51" s="50"/>
      <c r="AC51" s="58"/>
      <c r="AD51" s="52"/>
      <c r="AE51" s="109"/>
    </row>
    <row r="52" spans="1:31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150</v>
      </c>
      <c r="Y52" s="109"/>
      <c r="Z52" s="248"/>
      <c r="AA52" s="50"/>
      <c r="AB52" s="50"/>
      <c r="AC52" s="51"/>
      <c r="AD52" s="52"/>
      <c r="AE52" s="109"/>
    </row>
    <row r="53" spans="1:31" x14ac:dyDescent="0.2">
      <c r="A53" s="112" t="str">
        <f>IF(A8="","",A8)</f>
        <v/>
      </c>
      <c r="B53" s="250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09"/>
      <c r="Z53" s="248"/>
      <c r="AA53" s="109"/>
      <c r="AB53" s="109"/>
      <c r="AC53" s="109"/>
      <c r="AD53" s="109"/>
      <c r="AE53" s="109"/>
    </row>
    <row r="54" spans="1:31" x14ac:dyDescent="0.2">
      <c r="A54" s="112" t="str">
        <f t="shared" ref="A54:B69" si="3">IF(A9="","",A9)</f>
        <v/>
      </c>
      <c r="B54" s="250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09"/>
      <c r="Z54" s="248"/>
      <c r="AA54" s="109"/>
      <c r="AB54" s="109"/>
      <c r="AC54" s="109"/>
      <c r="AD54" s="109"/>
      <c r="AE54" s="109"/>
    </row>
    <row r="55" spans="1:31" x14ac:dyDescent="0.2">
      <c r="A55" s="112" t="str">
        <f t="shared" si="3"/>
        <v/>
      </c>
      <c r="B55" s="250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2" t="str">
        <f t="shared" si="3"/>
        <v/>
      </c>
      <c r="B56" s="250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2" t="str">
        <f t="shared" si="3"/>
        <v/>
      </c>
      <c r="B57" s="250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2" t="str">
        <f t="shared" si="3"/>
        <v/>
      </c>
      <c r="B58" s="250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6"/>
    </row>
    <row r="59" spans="1:31" x14ac:dyDescent="0.2">
      <c r="A59" s="112" t="str">
        <f t="shared" si="3"/>
        <v/>
      </c>
      <c r="B59" s="250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2" t="str">
        <f t="shared" si="3"/>
        <v/>
      </c>
      <c r="B60" s="250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151</v>
      </c>
    </row>
    <row r="61" spans="1:31" x14ac:dyDescent="0.2">
      <c r="A61" s="112" t="str">
        <f t="shared" si="3"/>
        <v/>
      </c>
      <c r="B61" s="250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152</v>
      </c>
    </row>
    <row r="62" spans="1:31" x14ac:dyDescent="0.2">
      <c r="A62" s="112" t="str">
        <f t="shared" si="3"/>
        <v/>
      </c>
      <c r="B62" s="250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153</v>
      </c>
    </row>
    <row r="63" spans="1:31" x14ac:dyDescent="0.2">
      <c r="A63" s="112" t="str">
        <f t="shared" si="3"/>
        <v/>
      </c>
      <c r="B63" s="250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2" t="str">
        <f t="shared" si="3"/>
        <v/>
      </c>
      <c r="B64" s="250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si="3"/>
        <v/>
      </c>
      <c r="B65" s="250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si="3"/>
        <v/>
      </c>
      <c r="B66" s="250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si="3"/>
        <v/>
      </c>
      <c r="B67" s="250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si="3"/>
        <v/>
      </c>
      <c r="B68" s="250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si="3"/>
        <v/>
      </c>
      <c r="B69" s="250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82" si="14">IF(A25="","",A25)</f>
        <v/>
      </c>
      <c r="B70" s="250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si="14"/>
        <v/>
      </c>
      <c r="B71" s="250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si="14"/>
        <v/>
      </c>
      <c r="B72" s="250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si="14"/>
        <v/>
      </c>
      <c r="B73" s="250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si="14"/>
        <v/>
      </c>
      <c r="B74" s="250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si="14"/>
        <v/>
      </c>
      <c r="B75" s="250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2" t="str">
        <f t="shared" si="14"/>
        <v/>
      </c>
      <c r="B76" s="250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si="14"/>
        <v/>
      </c>
      <c r="B77" s="250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si="14"/>
        <v/>
      </c>
      <c r="B78" s="250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si="14"/>
        <v/>
      </c>
      <c r="B79" s="250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si="14"/>
        <v/>
      </c>
      <c r="B80" s="250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4" x14ac:dyDescent="0.2">
      <c r="A81" s="112" t="str">
        <f t="shared" si="14"/>
        <v/>
      </c>
      <c r="B81" s="250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4" x14ac:dyDescent="0.2">
      <c r="A82" s="112" t="str">
        <f t="shared" si="14"/>
        <v/>
      </c>
      <c r="B82" s="250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4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  <c r="M84" s="388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  <c r="M85" s="388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  <c r="M86" s="388"/>
    </row>
    <row r="87" spans="1:14" x14ac:dyDescent="0.2">
      <c r="A87" s="10" t="s">
        <v>38</v>
      </c>
      <c r="B87" s="71" t="e">
        <f>SUM(C87:H87)</f>
        <v>#DIV/0!</v>
      </c>
      <c r="C87" s="323" t="e">
        <v>#DIV/0!</v>
      </c>
      <c r="D87" s="323" t="e">
        <v>#DIV/0!</v>
      </c>
      <c r="E87" s="323" t="e">
        <v>#DIV/0!</v>
      </c>
      <c r="F87" s="99" t="e">
        <f>F86+100-B86</f>
        <v>#DIV/0!</v>
      </c>
      <c r="G87" s="323" t="e">
        <v>#DIV/0!</v>
      </c>
      <c r="H87" s="323" t="e">
        <v>#DIV/0!</v>
      </c>
      <c r="I87" s="323" t="e">
        <v>#DIV/0!</v>
      </c>
      <c r="J87" s="324" t="e">
        <v>#DIV/0!</v>
      </c>
      <c r="K87" s="324" t="e">
        <v>#DIV/0!</v>
      </c>
      <c r="L87" s="341" t="e">
        <v>#DIV/0!</v>
      </c>
      <c r="M87" s="388"/>
      <c r="N87" s="325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47"/>
      <c r="K88" s="7"/>
      <c r="L88" s="39"/>
      <c r="M88" s="388"/>
    </row>
    <row r="89" spans="1:14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154</v>
      </c>
      <c r="M89" s="388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  <c r="M90" s="388"/>
    </row>
    <row r="91" spans="1:14" x14ac:dyDescent="0.2">
      <c r="A91" s="112" t="str">
        <f>IF(A41="","",A41)</f>
        <v/>
      </c>
      <c r="B91" s="250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  <c r="M91" s="388"/>
    </row>
    <row r="92" spans="1:14" x14ac:dyDescent="0.2">
      <c r="A92" s="112" t="str">
        <f t="shared" ref="A92:B99" si="27">IF(A42="","",A42)</f>
        <v/>
      </c>
      <c r="B92" s="250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  <c r="M92" s="388"/>
    </row>
    <row r="93" spans="1:14" x14ac:dyDescent="0.2">
      <c r="A93" s="112" t="str">
        <f t="shared" si="27"/>
        <v/>
      </c>
      <c r="B93" s="250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  <c r="M93" s="388"/>
    </row>
    <row r="94" spans="1:14" x14ac:dyDescent="0.2">
      <c r="A94" s="112" t="str">
        <f t="shared" si="27"/>
        <v/>
      </c>
      <c r="B94" s="250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  <c r="M94" s="388"/>
    </row>
    <row r="95" spans="1:14" x14ac:dyDescent="0.2">
      <c r="A95" s="112" t="str">
        <f t="shared" si="27"/>
        <v/>
      </c>
      <c r="B95" s="250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  <c r="M95" s="388"/>
    </row>
    <row r="96" spans="1:14" x14ac:dyDescent="0.2">
      <c r="A96" s="112" t="str">
        <f t="shared" si="27"/>
        <v/>
      </c>
      <c r="B96" s="250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  <c r="M96" s="388"/>
    </row>
    <row r="97" spans="1:14" x14ac:dyDescent="0.2">
      <c r="A97" s="112" t="str">
        <f t="shared" si="27"/>
        <v/>
      </c>
      <c r="B97" s="250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  <c r="M97" s="388"/>
    </row>
    <row r="98" spans="1:14" x14ac:dyDescent="0.2">
      <c r="A98" s="112" t="str">
        <f t="shared" si="27"/>
        <v/>
      </c>
      <c r="B98" s="250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  <c r="M98" s="388"/>
    </row>
    <row r="99" spans="1:14" x14ac:dyDescent="0.2">
      <c r="A99" s="112" t="str">
        <f t="shared" si="27"/>
        <v/>
      </c>
      <c r="B99" s="250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  <c r="M99" s="388"/>
    </row>
    <row r="100" spans="1:14" x14ac:dyDescent="0.2">
      <c r="A100" s="10" t="s">
        <v>34</v>
      </c>
      <c r="B100" s="67">
        <f t="shared" ref="B100:L100" si="28">SUM(B90:B99)</f>
        <v>100</v>
      </c>
      <c r="C100" s="61" t="e">
        <f>SUM(C90:C99)</f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2" t="e">
        <f t="shared" si="28"/>
        <v>#DIV/0!</v>
      </c>
      <c r="M100" s="388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  <c r="M101" s="38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70" t="e">
        <f t="shared" si="29"/>
        <v>#DIV/0!</v>
      </c>
      <c r="M102" s="388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7" t="e">
        <f>ROUND(+L102/B102*100,0)</f>
        <v>#DIV/0!</v>
      </c>
      <c r="M103" s="388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326" t="e">
        <v>#DIV/0!</v>
      </c>
      <c r="D104" s="326" t="e">
        <v>#DIV/0!</v>
      </c>
      <c r="E104" s="326" t="e">
        <v>#DIV/0!</v>
      </c>
      <c r="F104" s="78" t="e">
        <f>F103+100-B103</f>
        <v>#DIV/0!</v>
      </c>
      <c r="G104" s="327" t="e">
        <v>#DIV/0!</v>
      </c>
      <c r="H104" s="327" t="e">
        <v>#DIV/0!</v>
      </c>
      <c r="I104" s="330" t="e">
        <v>#DIV/0!</v>
      </c>
      <c r="J104" s="329" t="e">
        <v>#DIV/0!</v>
      </c>
      <c r="K104" s="329" t="e">
        <v>#DIV/0!</v>
      </c>
      <c r="L104" s="330" t="e">
        <v>#DIV/0!</v>
      </c>
      <c r="M104" s="388"/>
      <c r="N104" s="325"/>
    </row>
    <row r="105" spans="1:14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4" ht="18.75" thickTop="1" thickBot="1" x14ac:dyDescent="0.25">
      <c r="A106" s="205" t="s">
        <v>128</v>
      </c>
      <c r="B106" s="251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269" t="s">
        <v>178</v>
      </c>
      <c r="I106" s="270">
        <v>115</v>
      </c>
      <c r="J106" s="81"/>
      <c r="K106" s="81"/>
      <c r="L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271" t="s">
        <v>179</v>
      </c>
      <c r="I107" s="272">
        <v>103</v>
      </c>
      <c r="J107" s="2"/>
      <c r="K107" s="2"/>
      <c r="L107" s="3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273" t="s">
        <v>180</v>
      </c>
      <c r="I108" s="274">
        <v>10.5</v>
      </c>
      <c r="J108" s="2"/>
      <c r="K108" s="2"/>
      <c r="L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4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AG20</f>
        <v>#DIV/0!</v>
      </c>
      <c r="G113" s="120" t="e">
        <f>AG23</f>
        <v>#DIV/0!</v>
      </c>
      <c r="H113" s="121" t="e">
        <f>AG17</f>
        <v>#DIV/0!</v>
      </c>
      <c r="I113" s="120" t="e">
        <f>IF(AG13&gt;=100,AG18,IF(AE18&lt;0.3,0,AG18))</f>
        <v>#DIV/0!</v>
      </c>
      <c r="J113" s="122" t="e">
        <f>IF(AE19&lt;5,0,AG19)</f>
        <v>#DIV/0!</v>
      </c>
      <c r="K113" s="91"/>
      <c r="L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4" x14ac:dyDescent="0.2">
      <c r="A117" s="103"/>
      <c r="C117" s="115" t="s">
        <v>155</v>
      </c>
    </row>
    <row r="118" spans="1:14" ht="18" thickBot="1" x14ac:dyDescent="0.25">
      <c r="A118" s="103"/>
      <c r="C118" s="363" t="e">
        <f>"1"&amp;$G$6&amp;""</f>
        <v>#VALUE!</v>
      </c>
      <c r="D118" s="363"/>
      <c r="E118" s="363"/>
      <c r="F118" s="363"/>
      <c r="G118" s="363"/>
      <c r="H118" s="363"/>
      <c r="I118" s="364"/>
      <c r="J118" s="363"/>
      <c r="K118" s="363"/>
      <c r="L118" s="363"/>
      <c r="M118" s="365" t="s">
        <v>156</v>
      </c>
      <c r="N118" s="365"/>
    </row>
    <row r="119" spans="1:14" ht="18.75" thickTop="1" thickBot="1" x14ac:dyDescent="0.25">
      <c r="A119" s="127"/>
      <c r="C119" s="366" t="s">
        <v>157</v>
      </c>
      <c r="D119" s="366"/>
      <c r="E119" s="366"/>
      <c r="F119" s="366"/>
      <c r="G119" s="366"/>
      <c r="H119" s="366"/>
      <c r="I119" s="367"/>
      <c r="J119" s="366"/>
      <c r="K119" s="368">
        <f>B106</f>
        <v>0</v>
      </c>
      <c r="L119" s="369"/>
      <c r="M119" s="369"/>
      <c r="N119" s="369"/>
    </row>
    <row r="120" spans="1:14" ht="18.75" thickTop="1" thickBot="1" x14ac:dyDescent="0.25">
      <c r="A120" s="103"/>
      <c r="C120" s="252"/>
      <c r="D120" s="252"/>
      <c r="E120" s="252"/>
      <c r="F120" s="252"/>
      <c r="G120" s="252"/>
      <c r="H120" s="252"/>
      <c r="I120" s="252"/>
      <c r="J120" s="252"/>
      <c r="K120" s="252"/>
      <c r="L120" s="252"/>
      <c r="M120" s="252"/>
      <c r="N120" s="252"/>
    </row>
    <row r="121" spans="1:14" x14ac:dyDescent="0.2">
      <c r="C121" s="370" t="s">
        <v>49</v>
      </c>
      <c r="D121" s="370"/>
      <c r="E121" s="370"/>
      <c r="F121" s="370"/>
      <c r="G121" s="370"/>
      <c r="H121" s="371"/>
      <c r="I121" s="372" t="e">
        <f t="shared" ref="I121:I130" si="30">AG14</f>
        <v>#DIV/0!</v>
      </c>
      <c r="J121" s="373"/>
      <c r="K121" s="373"/>
      <c r="L121" s="374"/>
      <c r="M121" s="253" t="s">
        <v>52</v>
      </c>
      <c r="N121" s="254"/>
    </row>
    <row r="122" spans="1:14" x14ac:dyDescent="0.2">
      <c r="C122" s="375" t="s">
        <v>158</v>
      </c>
      <c r="D122" s="375"/>
      <c r="E122" s="375"/>
      <c r="F122" s="375"/>
      <c r="G122" s="375"/>
      <c r="H122" s="376"/>
      <c r="I122" s="377" t="e">
        <f t="shared" si="30"/>
        <v>#DIV/0!</v>
      </c>
      <c r="J122" s="378"/>
      <c r="K122" s="378"/>
      <c r="L122" s="379"/>
      <c r="M122" s="255" t="s">
        <v>69</v>
      </c>
      <c r="N122" s="256"/>
    </row>
    <row r="123" spans="1:14" x14ac:dyDescent="0.2">
      <c r="C123" s="375" t="s">
        <v>159</v>
      </c>
      <c r="D123" s="375"/>
      <c r="E123" s="375"/>
      <c r="F123" s="375"/>
      <c r="G123" s="375"/>
      <c r="H123" s="376"/>
      <c r="I123" s="377" t="e">
        <f t="shared" si="30"/>
        <v>#DIV/0!</v>
      </c>
      <c r="J123" s="378"/>
      <c r="K123" s="378"/>
      <c r="L123" s="379"/>
      <c r="M123" s="255" t="s">
        <v>69</v>
      </c>
      <c r="N123" s="256"/>
    </row>
    <row r="124" spans="1:14" x14ac:dyDescent="0.2">
      <c r="C124" s="375" t="s">
        <v>160</v>
      </c>
      <c r="D124" s="375"/>
      <c r="E124" s="375"/>
      <c r="F124" s="375"/>
      <c r="G124" s="375"/>
      <c r="H124" s="376"/>
      <c r="I124" s="380" t="e">
        <f t="shared" si="30"/>
        <v>#DIV/0!</v>
      </c>
      <c r="J124" s="381"/>
      <c r="K124" s="381"/>
      <c r="L124" s="382"/>
      <c r="M124" s="255" t="s">
        <v>161</v>
      </c>
      <c r="N124" s="256"/>
    </row>
    <row r="125" spans="1:14" x14ac:dyDescent="0.2">
      <c r="C125" s="375" t="s">
        <v>162</v>
      </c>
      <c r="D125" s="375"/>
      <c r="E125" s="375"/>
      <c r="F125" s="375"/>
      <c r="G125" s="375"/>
      <c r="H125" s="376"/>
      <c r="I125" s="383" t="e">
        <f t="shared" si="30"/>
        <v>#DIV/0!</v>
      </c>
      <c r="J125" s="384"/>
      <c r="K125" s="384"/>
      <c r="L125" s="385"/>
      <c r="M125" s="255" t="s">
        <v>69</v>
      </c>
      <c r="N125" s="256"/>
    </row>
    <row r="126" spans="1:14" x14ac:dyDescent="0.2">
      <c r="C126" s="375" t="s">
        <v>163</v>
      </c>
      <c r="D126" s="375"/>
      <c r="E126" s="375"/>
      <c r="F126" s="375"/>
      <c r="G126" s="375"/>
      <c r="H126" s="376"/>
      <c r="I126" s="383" t="e">
        <f t="shared" si="30"/>
        <v>#DIV/0!</v>
      </c>
      <c r="J126" s="384"/>
      <c r="K126" s="384"/>
      <c r="L126" s="385"/>
      <c r="M126" s="255" t="s">
        <v>70</v>
      </c>
      <c r="N126" s="256"/>
    </row>
    <row r="127" spans="1:14" x14ac:dyDescent="0.2">
      <c r="C127" s="375" t="s">
        <v>164</v>
      </c>
      <c r="D127" s="375"/>
      <c r="E127" s="375"/>
      <c r="F127" s="375"/>
      <c r="G127" s="375"/>
      <c r="H127" s="376"/>
      <c r="I127" s="377" t="e">
        <f t="shared" si="30"/>
        <v>#DIV/0!</v>
      </c>
      <c r="J127" s="378"/>
      <c r="K127" s="378"/>
      <c r="L127" s="379"/>
      <c r="M127" s="255" t="s">
        <v>69</v>
      </c>
      <c r="N127" s="256"/>
    </row>
    <row r="128" spans="1:14" x14ac:dyDescent="0.2">
      <c r="C128" s="375" t="s">
        <v>165</v>
      </c>
      <c r="D128" s="375"/>
      <c r="E128" s="375"/>
      <c r="F128" s="375"/>
      <c r="G128" s="375"/>
      <c r="H128" s="376"/>
      <c r="I128" s="377" t="e">
        <f t="shared" si="30"/>
        <v>#DIV/0!</v>
      </c>
      <c r="J128" s="378"/>
      <c r="K128" s="378"/>
      <c r="L128" s="379"/>
      <c r="M128" s="255" t="s">
        <v>69</v>
      </c>
      <c r="N128" s="256"/>
    </row>
    <row r="129" spans="3:14" x14ac:dyDescent="0.2">
      <c r="C129" s="375" t="s">
        <v>166</v>
      </c>
      <c r="D129" s="375"/>
      <c r="E129" s="375"/>
      <c r="F129" s="375"/>
      <c r="G129" s="375"/>
      <c r="H129" s="376"/>
      <c r="I129" s="377" t="e">
        <f t="shared" si="30"/>
        <v>#DIV/0!</v>
      </c>
      <c r="J129" s="378"/>
      <c r="K129" s="378"/>
      <c r="L129" s="379"/>
      <c r="M129" s="255" t="s">
        <v>69</v>
      </c>
      <c r="N129" s="256"/>
    </row>
    <row r="130" spans="3:14" x14ac:dyDescent="0.2">
      <c r="C130" s="375" t="s">
        <v>167</v>
      </c>
      <c r="D130" s="375"/>
      <c r="E130" s="375"/>
      <c r="F130" s="375"/>
      <c r="G130" s="375"/>
      <c r="H130" s="376"/>
      <c r="I130" s="377" t="e">
        <f t="shared" si="30"/>
        <v>#DIV/0!</v>
      </c>
      <c r="J130" s="378"/>
      <c r="K130" s="378"/>
      <c r="L130" s="379"/>
      <c r="M130" s="255" t="s">
        <v>69</v>
      </c>
      <c r="N130" s="256"/>
    </row>
  </sheetData>
  <mergeCells count="32">
    <mergeCell ref="C130:H130"/>
    <mergeCell ref="I130:L130"/>
    <mergeCell ref="C127:H127"/>
    <mergeCell ref="I127:L127"/>
    <mergeCell ref="C128:H128"/>
    <mergeCell ref="I128:L128"/>
    <mergeCell ref="C129:H129"/>
    <mergeCell ref="I129:L129"/>
    <mergeCell ref="C124:H124"/>
    <mergeCell ref="I124:L124"/>
    <mergeCell ref="C125:H125"/>
    <mergeCell ref="I125:L125"/>
    <mergeCell ref="C126:H126"/>
    <mergeCell ref="I126:L126"/>
    <mergeCell ref="C121:H121"/>
    <mergeCell ref="I121:L121"/>
    <mergeCell ref="C122:H122"/>
    <mergeCell ref="I122:L122"/>
    <mergeCell ref="C123:H123"/>
    <mergeCell ref="I123:L123"/>
    <mergeCell ref="AK12:AK13"/>
    <mergeCell ref="AA31:AJ31"/>
    <mergeCell ref="C118:L118"/>
    <mergeCell ref="M118:N118"/>
    <mergeCell ref="C119:J119"/>
    <mergeCell ref="K119:N119"/>
    <mergeCell ref="G4:H4"/>
    <mergeCell ref="A5:E5"/>
    <mergeCell ref="A6:E6"/>
    <mergeCell ref="AB7:AI7"/>
    <mergeCell ref="AE12:AE13"/>
    <mergeCell ref="AG12:AI12"/>
  </mergeCells>
  <phoneticPr fontId="3"/>
  <conditionalFormatting sqref="AA31:AJ31">
    <cfRule type="expression" dxfId="14" priority="8" stopIfTrue="1">
      <formula>NOT(AA31="この表示値は、目安です。")</formula>
    </cfRule>
  </conditionalFormatting>
  <conditionalFormatting sqref="AG12:AI12">
    <cfRule type="expression" dxfId="13" priority="7" stopIfTrue="1">
      <formula>NOT(AG12="1個当たり")</formula>
    </cfRule>
  </conditionalFormatting>
  <conditionalFormatting sqref="AE26">
    <cfRule type="expression" dxfId="12" priority="6" stopIfTrue="1">
      <formula>IF($A$4="蒸し物",IF($AE$26&lt;30,TRUE,FALSE),FALSE)</formula>
    </cfRule>
  </conditionalFormatting>
  <conditionalFormatting sqref="Z18">
    <cfRule type="expression" dxfId="11" priority="5" stopIfTrue="1">
      <formula>COUNTIF($Z$18,"*2")</formula>
    </cfRule>
  </conditionalFormatting>
  <conditionalFormatting sqref="Z17">
    <cfRule type="expression" dxfId="10" priority="4" stopIfTrue="1">
      <formula>COUNTIF($Z$17,"*1")</formula>
    </cfRule>
  </conditionalFormatting>
  <conditionalFormatting sqref="AA1:AB1048576 AJ1:AJ1048576 AC1:AI6 AC8:AI1048576">
    <cfRule type="expression" dxfId="9" priority="3" stopIfTrue="1">
      <formula>$A$2="出力なし"</formula>
    </cfRule>
  </conditionalFormatting>
  <conditionalFormatting sqref="AG12:AI12">
    <cfRule type="expression" dxfId="8" priority="2" stopIfTrue="1">
      <formula>NOT(AG12="1個当たり")</formula>
    </cfRule>
  </conditionalFormatting>
  <conditionalFormatting sqref="C117">
    <cfRule type="expression" dxfId="7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8" r:id="rId4" name="cmdClear104">
          <controlPr defaultSize="0" autoLine="0" autoPict="0" r:id="rId5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1268" r:id="rId4" name="cmdClear104"/>
      </mc:Fallback>
    </mc:AlternateContent>
    <mc:AlternateContent xmlns:mc="http://schemas.openxmlformats.org/markup-compatibility/2006">
      <mc:Choice Requires="x14">
        <control shapeId="11267" r:id="rId6" name="cmdCopy104">
          <controlPr defaultSize="0" autoLine="0" autoPict="0" r:id="rId7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1267" r:id="rId6" name="cmdCopy104"/>
      </mc:Fallback>
    </mc:AlternateContent>
    <mc:AlternateContent xmlns:mc="http://schemas.openxmlformats.org/markup-compatibility/2006">
      <mc:Choice Requires="x14">
        <control shapeId="11266" r:id="rId8" name="cmdClear87">
          <controlPr defaultSize="0" autoLine="0" autoPict="0" r:id="rId9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1266" r:id="rId8" name="cmdClear87"/>
      </mc:Fallback>
    </mc:AlternateContent>
    <mc:AlternateContent xmlns:mc="http://schemas.openxmlformats.org/markup-compatibility/2006">
      <mc:Choice Requires="x14">
        <control shapeId="11265" r:id="rId10" name="cmdCopy87">
          <controlPr defaultSize="0" autoLine="0" autoPict="0" r:id="rId11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1265" r:id="rId10" name="cmdCopy87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64" transitionEvaluation="1" codeName="Sheet31">
    <tabColor rgb="FFFFFF00"/>
  </sheetPr>
  <dimension ref="A1:AK124"/>
  <sheetViews>
    <sheetView showGridLines="0" topLeftCell="A64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28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1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1" t="s">
        <v>1</v>
      </c>
      <c r="B5" s="361"/>
      <c r="C5" s="361"/>
      <c r="D5" s="361"/>
      <c r="E5" s="361"/>
      <c r="F5" s="169" t="s">
        <v>84</v>
      </c>
      <c r="G5" s="169" t="s">
        <v>85</v>
      </c>
      <c r="H5" s="169" t="s">
        <v>86</v>
      </c>
      <c r="I5" s="6" t="s">
        <v>112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2020年10月21日</v>
      </c>
      <c r="AJ5" s="5"/>
    </row>
    <row r="6" spans="1:37" ht="21" x14ac:dyDescent="0.2">
      <c r="A6" s="386" t="s">
        <v>107</v>
      </c>
      <c r="B6" s="386"/>
      <c r="C6" s="386"/>
      <c r="D6" s="386"/>
      <c r="E6" s="386"/>
      <c r="F6" s="170" t="s">
        <v>108</v>
      </c>
      <c r="G6" s="171" t="s">
        <v>109</v>
      </c>
      <c r="H6" s="172" t="s">
        <v>110</v>
      </c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111</v>
      </c>
      <c r="I7" s="175" t="s">
        <v>10</v>
      </c>
      <c r="J7" s="176" t="s">
        <v>11</v>
      </c>
      <c r="K7" s="177" t="s">
        <v>12</v>
      </c>
      <c r="L7" s="178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2" t="s">
        <v>92</v>
      </c>
      <c r="B8" s="113">
        <v>100</v>
      </c>
      <c r="C8" s="114">
        <v>14.5</v>
      </c>
      <c r="D8" s="114">
        <v>7.8</v>
      </c>
      <c r="E8" s="114">
        <v>1.5</v>
      </c>
      <c r="F8" s="114">
        <v>73.319999999999993</v>
      </c>
      <c r="G8" s="114">
        <v>2.5</v>
      </c>
      <c r="H8" s="114">
        <v>0.38</v>
      </c>
      <c r="I8" s="114">
        <v>0</v>
      </c>
      <c r="J8" s="114">
        <v>0</v>
      </c>
      <c r="K8" s="114">
        <v>0.34</v>
      </c>
      <c r="L8" s="114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2" t="s">
        <v>93</v>
      </c>
      <c r="B9" s="113">
        <v>100</v>
      </c>
      <c r="C9" s="114">
        <v>0.8</v>
      </c>
      <c r="D9" s="114"/>
      <c r="E9" s="114"/>
      <c r="F9" s="114">
        <v>99.2</v>
      </c>
      <c r="G9" s="114"/>
      <c r="H9" s="114"/>
      <c r="I9" s="114">
        <v>1</v>
      </c>
      <c r="J9" s="114"/>
      <c r="K9" s="114"/>
      <c r="L9" s="114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 t="s">
        <v>94</v>
      </c>
      <c r="B10" s="113">
        <v>180</v>
      </c>
      <c r="C10" s="114">
        <v>76.099999999999994</v>
      </c>
      <c r="D10" s="114">
        <v>12.3</v>
      </c>
      <c r="E10" s="114">
        <v>10.3</v>
      </c>
      <c r="F10" s="114">
        <v>0.3</v>
      </c>
      <c r="G10" s="114"/>
      <c r="H10" s="114">
        <v>1</v>
      </c>
      <c r="I10" s="114">
        <v>140</v>
      </c>
      <c r="J10" s="114"/>
      <c r="K10" s="114">
        <v>2.84</v>
      </c>
      <c r="L10" s="114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 t="s">
        <v>95</v>
      </c>
      <c r="B11" s="113">
        <v>20</v>
      </c>
      <c r="C11" s="114">
        <v>0</v>
      </c>
      <c r="D11" s="114">
        <v>0</v>
      </c>
      <c r="E11" s="114">
        <v>100</v>
      </c>
      <c r="F11" s="114">
        <v>0</v>
      </c>
      <c r="G11" s="114"/>
      <c r="H11" s="114">
        <v>0</v>
      </c>
      <c r="I11" s="114">
        <v>0</v>
      </c>
      <c r="J11" s="114">
        <v>1.2</v>
      </c>
      <c r="K11" s="114">
        <v>13.29</v>
      </c>
      <c r="L11" s="114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 t="s">
        <v>96</v>
      </c>
      <c r="B12" s="113">
        <v>2</v>
      </c>
      <c r="C12" s="114">
        <v>4.0999999999999996</v>
      </c>
      <c r="D12" s="114">
        <v>0</v>
      </c>
      <c r="E12" s="114">
        <v>0.4</v>
      </c>
      <c r="F12" s="114">
        <v>27.6</v>
      </c>
      <c r="G12" s="114">
        <v>0</v>
      </c>
      <c r="H12" s="114">
        <v>67.900000000000006</v>
      </c>
      <c r="I12" s="114">
        <v>18872</v>
      </c>
      <c r="J12" s="114">
        <v>0.3</v>
      </c>
      <c r="K12" s="114">
        <v>0.17</v>
      </c>
      <c r="L12" s="114">
        <v>5</v>
      </c>
      <c r="M12" s="4">
        <f t="shared" si="0"/>
        <v>100</v>
      </c>
      <c r="AA12" s="17" t="s">
        <v>15</v>
      </c>
      <c r="AB12" s="5"/>
      <c r="AC12" s="5"/>
      <c r="AD12" s="20"/>
      <c r="AE12" s="356" t="s">
        <v>65</v>
      </c>
      <c r="AG12" s="387" t="str">
        <f>"1"&amp;G6&amp;"当たり"</f>
        <v>1個当たり</v>
      </c>
      <c r="AH12" s="387"/>
      <c r="AI12" s="387"/>
      <c r="AJ12" s="21"/>
      <c r="AK12" s="347" t="s">
        <v>47</v>
      </c>
    </row>
    <row r="13" spans="1:37" ht="24.75" x14ac:dyDescent="0.25">
      <c r="A13" s="112" t="s">
        <v>97</v>
      </c>
      <c r="B13" s="113">
        <v>4.5</v>
      </c>
      <c r="C13" s="114">
        <v>0.3</v>
      </c>
      <c r="D13" s="114">
        <v>0</v>
      </c>
      <c r="E13" s="114">
        <v>0.1</v>
      </c>
      <c r="F13" s="114">
        <v>44.9</v>
      </c>
      <c r="G13" s="114">
        <v>0</v>
      </c>
      <c r="H13" s="114">
        <v>54.7</v>
      </c>
      <c r="I13" s="114">
        <v>12578</v>
      </c>
      <c r="J13" s="114">
        <v>0</v>
      </c>
      <c r="K13" s="114">
        <v>0.02</v>
      </c>
      <c r="L13" s="114">
        <v>0</v>
      </c>
      <c r="M13" s="4">
        <f t="shared" si="0"/>
        <v>100</v>
      </c>
      <c r="AA13" s="5"/>
      <c r="AB13" s="5"/>
      <c r="AC13" s="5"/>
      <c r="AD13" s="22"/>
      <c r="AE13" s="357"/>
      <c r="AF13" s="20"/>
      <c r="AG13" s="23">
        <f>ROUND(+B102,0)</f>
        <v>65</v>
      </c>
      <c r="AH13" s="24" t="s">
        <v>16</v>
      </c>
      <c r="AI13" s="23"/>
      <c r="AJ13" s="25"/>
      <c r="AK13" s="347"/>
    </row>
    <row r="14" spans="1:37" s="26" customFormat="1" ht="22.5" x14ac:dyDescent="0.25">
      <c r="A14" s="112" t="s">
        <v>98</v>
      </c>
      <c r="B14" s="113">
        <v>35</v>
      </c>
      <c r="C14" s="114">
        <v>32.200000000000003</v>
      </c>
      <c r="D14" s="114">
        <v>0</v>
      </c>
      <c r="E14" s="114">
        <v>34</v>
      </c>
      <c r="F14" s="114">
        <v>33.6</v>
      </c>
      <c r="G14" s="114">
        <v>0</v>
      </c>
      <c r="H14" s="114">
        <v>0.2</v>
      </c>
      <c r="I14" s="114">
        <v>4</v>
      </c>
      <c r="J14" s="114">
        <v>0.3</v>
      </c>
      <c r="K14" s="114">
        <v>9.8000000000000007</v>
      </c>
      <c r="L14" s="114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 t="s">
        <v>99</v>
      </c>
      <c r="B15" s="113">
        <v>20</v>
      </c>
      <c r="C15" s="114">
        <v>0.1</v>
      </c>
      <c r="D15" s="114">
        <v>0</v>
      </c>
      <c r="E15" s="114">
        <v>99.8</v>
      </c>
      <c r="F15" s="114">
        <v>0</v>
      </c>
      <c r="G15" s="114">
        <v>0</v>
      </c>
      <c r="H15" s="114">
        <v>0.1</v>
      </c>
      <c r="I15" s="114">
        <v>0</v>
      </c>
      <c r="J15" s="114">
        <v>1.1000000000000001</v>
      </c>
      <c r="K15" s="114">
        <v>13.9</v>
      </c>
      <c r="L15" s="114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 t="s">
        <v>100</v>
      </c>
      <c r="B16" s="113">
        <v>5</v>
      </c>
      <c r="C16" s="114">
        <v>68.8</v>
      </c>
      <c r="D16" s="114">
        <v>0</v>
      </c>
      <c r="E16" s="114">
        <v>0</v>
      </c>
      <c r="F16" s="114">
        <v>0</v>
      </c>
      <c r="G16" s="114"/>
      <c r="H16" s="114"/>
      <c r="I16" s="114"/>
      <c r="J16" s="114"/>
      <c r="K16" s="114"/>
      <c r="L16" s="114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 t="s">
        <v>101</v>
      </c>
      <c r="B17" s="113">
        <v>0.5</v>
      </c>
      <c r="C17" s="114">
        <v>0.08</v>
      </c>
      <c r="D17" s="114">
        <v>0</v>
      </c>
      <c r="E17" s="114">
        <v>0</v>
      </c>
      <c r="F17" s="114">
        <v>0</v>
      </c>
      <c r="G17" s="114">
        <v>0</v>
      </c>
      <c r="H17" s="114">
        <v>99.92</v>
      </c>
      <c r="I17" s="114">
        <v>39200</v>
      </c>
      <c r="J17" s="114">
        <v>0</v>
      </c>
      <c r="K17" s="114">
        <v>0</v>
      </c>
      <c r="L17" s="114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 t="s">
        <v>102</v>
      </c>
      <c r="B18" s="113">
        <v>16</v>
      </c>
      <c r="C18" s="114">
        <v>3</v>
      </c>
      <c r="D18" s="114">
        <v>0</v>
      </c>
      <c r="E18" s="114">
        <v>0.2</v>
      </c>
      <c r="F18" s="114">
        <v>14.7</v>
      </c>
      <c r="G18" s="114">
        <v>82.1</v>
      </c>
      <c r="H18" s="114">
        <v>0</v>
      </c>
      <c r="I18" s="114">
        <v>46.3</v>
      </c>
      <c r="J18" s="114"/>
      <c r="K18" s="114"/>
      <c r="L18" s="114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 t="s">
        <v>103</v>
      </c>
      <c r="B19" s="113">
        <v>0.08</v>
      </c>
      <c r="C19" s="114">
        <v>5.4</v>
      </c>
      <c r="D19" s="114">
        <v>14.1</v>
      </c>
      <c r="E19" s="114">
        <v>1.4</v>
      </c>
      <c r="F19" s="114">
        <v>76.2</v>
      </c>
      <c r="G19" s="114">
        <v>0.9</v>
      </c>
      <c r="H19" s="114">
        <v>2</v>
      </c>
      <c r="I19" s="114">
        <v>124</v>
      </c>
      <c r="J19" s="114">
        <v>0</v>
      </c>
      <c r="K19" s="114">
        <v>0.4</v>
      </c>
      <c r="L19" s="114">
        <v>0</v>
      </c>
      <c r="M19" s="4">
        <f t="shared" si="0"/>
        <v>100</v>
      </c>
      <c r="AA19" s="94" t="s">
        <v>44</v>
      </c>
      <c r="AB19" s="34"/>
      <c r="AC19" s="95"/>
      <c r="AD19" s="29"/>
      <c r="AE19" s="32">
        <f>$G$104</f>
        <v>3.4</v>
      </c>
      <c r="AF19" s="31"/>
      <c r="AG19" s="32">
        <f>ROUND(($AG$13*AE19)/100,1)</f>
        <v>2.2000000000000002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 t="s">
        <v>104</v>
      </c>
      <c r="B20" s="113">
        <v>11</v>
      </c>
      <c r="C20" s="114">
        <v>47.6</v>
      </c>
      <c r="D20" s="114">
        <v>0</v>
      </c>
      <c r="E20" s="114">
        <v>0</v>
      </c>
      <c r="F20" s="114">
        <v>50</v>
      </c>
      <c r="G20" s="114">
        <v>0.8</v>
      </c>
      <c r="H20" s="114">
        <v>1.6</v>
      </c>
      <c r="I20" s="114">
        <v>313</v>
      </c>
      <c r="J20" s="114">
        <v>0</v>
      </c>
      <c r="K20" s="114">
        <v>0</v>
      </c>
      <c r="L20" s="114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69</v>
      </c>
      <c r="AI20" s="30"/>
      <c r="AJ20" s="34"/>
      <c r="AK20" s="111">
        <v>2</v>
      </c>
    </row>
    <row r="21" spans="1:37" ht="22.5" x14ac:dyDescent="0.25">
      <c r="A21" s="112" t="s">
        <v>105</v>
      </c>
      <c r="B21" s="113">
        <v>4</v>
      </c>
      <c r="C21" s="114">
        <v>40.200000000000003</v>
      </c>
      <c r="D21" s="114">
        <v>0</v>
      </c>
      <c r="E21" s="114">
        <v>26.6</v>
      </c>
      <c r="F21" s="114">
        <v>33</v>
      </c>
      <c r="G21" s="114">
        <v>0.1</v>
      </c>
      <c r="H21" s="114">
        <v>0.1</v>
      </c>
      <c r="I21" s="114">
        <v>24</v>
      </c>
      <c r="J21" s="114">
        <v>0.2</v>
      </c>
      <c r="K21" s="114">
        <v>13.06</v>
      </c>
      <c r="L21" s="114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 t="s">
        <v>106</v>
      </c>
      <c r="B22" s="113">
        <v>6</v>
      </c>
      <c r="C22" s="114">
        <v>100</v>
      </c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1">
        <v>2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29</v>
      </c>
      <c r="AB27" s="29"/>
      <c r="AC27" s="29"/>
      <c r="AD27" s="29"/>
      <c r="AE27" s="98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360" t="s">
        <v>78</v>
      </c>
      <c r="AB31" s="360"/>
      <c r="AC31" s="360"/>
      <c r="AD31" s="360"/>
      <c r="AE31" s="360"/>
      <c r="AF31" s="360"/>
      <c r="AG31" s="360"/>
      <c r="AH31" s="360"/>
      <c r="AI31" s="360"/>
      <c r="AJ31" s="360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72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 t="s">
        <v>113</v>
      </c>
      <c r="B41" s="113">
        <v>1</v>
      </c>
      <c r="C41" s="114">
        <v>0.4</v>
      </c>
      <c r="D41" s="114">
        <v>3.7</v>
      </c>
      <c r="E41" s="114">
        <v>25</v>
      </c>
      <c r="F41" s="114">
        <v>70</v>
      </c>
      <c r="G41" s="114">
        <v>0</v>
      </c>
      <c r="H41" s="114">
        <v>0.9</v>
      </c>
      <c r="I41" s="114">
        <v>65</v>
      </c>
      <c r="J41" s="114">
        <v>6.6</v>
      </c>
      <c r="K41" s="114">
        <v>12.6</v>
      </c>
      <c r="L41" s="114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109"/>
      <c r="AA42" s="110"/>
      <c r="AB42" s="109"/>
      <c r="AC42" s="109"/>
      <c r="AD42" s="109"/>
      <c r="AE42" s="109"/>
    </row>
    <row r="43" spans="1:37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Y43" s="109"/>
      <c r="Z43" s="109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109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109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109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109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109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109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9"/>
      <c r="Z50" s="109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9"/>
      <c r="Z51" s="109"/>
      <c r="AA51" s="50"/>
      <c r="AB51" s="50"/>
      <c r="AC51" s="58"/>
      <c r="AD51" s="52"/>
      <c r="AE51" s="109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9"/>
      <c r="Z52" s="109"/>
      <c r="AA52" s="50"/>
      <c r="AB52" s="50"/>
      <c r="AC52" s="51"/>
      <c r="AD52" s="52"/>
      <c r="AE52" s="109"/>
    </row>
    <row r="53" spans="1:31" x14ac:dyDescent="0.2">
      <c r="A53" s="112" t="s">
        <v>92</v>
      </c>
      <c r="B53" s="113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09"/>
      <c r="Z53" s="109"/>
      <c r="AA53" s="109"/>
      <c r="AB53" s="109"/>
      <c r="AC53" s="109"/>
      <c r="AD53" s="109"/>
      <c r="AE53" s="109"/>
    </row>
    <row r="54" spans="1:31" x14ac:dyDescent="0.2">
      <c r="A54" s="112" t="s">
        <v>93</v>
      </c>
      <c r="B54" s="113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09"/>
      <c r="Z54" s="109"/>
      <c r="AA54" s="109"/>
      <c r="AB54" s="109"/>
      <c r="AC54" s="109"/>
      <c r="AD54" s="109"/>
      <c r="AE54" s="109"/>
    </row>
    <row r="55" spans="1:31" x14ac:dyDescent="0.2">
      <c r="A55" s="112" t="s">
        <v>94</v>
      </c>
      <c r="B55" s="113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2" t="s">
        <v>95</v>
      </c>
      <c r="B56" s="113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2" t="s">
        <v>96</v>
      </c>
      <c r="B57" s="113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2" t="s">
        <v>97</v>
      </c>
      <c r="B58" s="113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6"/>
    </row>
    <row r="59" spans="1:31" x14ac:dyDescent="0.2">
      <c r="A59" s="112" t="s">
        <v>98</v>
      </c>
      <c r="B59" s="113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2" t="s">
        <v>99</v>
      </c>
      <c r="B60" s="113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0" t="s">
        <v>45</v>
      </c>
    </row>
    <row r="61" spans="1:31" x14ac:dyDescent="0.2">
      <c r="A61" s="112" t="s">
        <v>100</v>
      </c>
      <c r="B61" s="113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0" t="s">
        <v>55</v>
      </c>
    </row>
    <row r="62" spans="1:31" x14ac:dyDescent="0.2">
      <c r="A62" s="112" t="s">
        <v>101</v>
      </c>
      <c r="B62" s="113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1" t="s">
        <v>56</v>
      </c>
    </row>
    <row r="63" spans="1:31" x14ac:dyDescent="0.2">
      <c r="A63" s="112" t="s">
        <v>102</v>
      </c>
      <c r="B63" s="113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2" t="s">
        <v>103</v>
      </c>
      <c r="B64" s="113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2" t="s">
        <v>104</v>
      </c>
      <c r="B65" s="113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2" t="s">
        <v>105</v>
      </c>
      <c r="B66" s="113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2" t="s">
        <v>106</v>
      </c>
      <c r="B67" s="113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2"/>
      <c r="B68" s="113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2"/>
      <c r="B69" s="113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2" t="s">
        <v>46</v>
      </c>
    </row>
    <row r="70" spans="1:27" x14ac:dyDescent="0.2">
      <c r="A70" s="112"/>
      <c r="B70" s="113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3" t="s">
        <v>71</v>
      </c>
    </row>
    <row r="71" spans="1:27" x14ac:dyDescent="0.2">
      <c r="A71" s="112"/>
      <c r="B71" s="113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3" t="s">
        <v>61</v>
      </c>
    </row>
    <row r="72" spans="1:27" x14ac:dyDescent="0.2">
      <c r="A72" s="112"/>
      <c r="B72" s="113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3" t="s">
        <v>62</v>
      </c>
    </row>
    <row r="73" spans="1:27" x14ac:dyDescent="0.2">
      <c r="A73" s="112"/>
      <c r="B73" s="113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3" t="s">
        <v>63</v>
      </c>
    </row>
    <row r="74" spans="1:27" x14ac:dyDescent="0.2">
      <c r="A74" s="112"/>
      <c r="B74" s="113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3" t="s">
        <v>64</v>
      </c>
    </row>
    <row r="75" spans="1:27" x14ac:dyDescent="0.2">
      <c r="A75" s="112"/>
      <c r="B75" s="113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2"/>
      <c r="B76" s="113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2"/>
      <c r="B77" s="113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2"/>
      <c r="B78" s="113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2"/>
      <c r="B79" s="113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2"/>
      <c r="B80" s="113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4" x14ac:dyDescent="0.2">
      <c r="A81" s="112"/>
      <c r="B81" s="113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4" x14ac:dyDescent="0.2">
      <c r="A82" s="112"/>
      <c r="B82" s="113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4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4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4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4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4" x14ac:dyDescent="0.2">
      <c r="A87" s="10" t="s">
        <v>38</v>
      </c>
      <c r="B87" s="71">
        <f>SUM(C87:H87)</f>
        <v>100.00000000000001</v>
      </c>
      <c r="C87" s="323">
        <v>27.9</v>
      </c>
      <c r="D87" s="323">
        <v>6.7</v>
      </c>
      <c r="E87" s="323">
        <v>16.3</v>
      </c>
      <c r="F87" s="99">
        <f>F86+100-B86</f>
        <v>44.100000000000009</v>
      </c>
      <c r="G87" s="323">
        <v>3.5</v>
      </c>
      <c r="H87" s="323">
        <v>1.5</v>
      </c>
      <c r="I87" s="323">
        <v>320.3</v>
      </c>
      <c r="J87" s="324">
        <v>0.129059236183306</v>
      </c>
      <c r="K87" s="324">
        <v>3.3094042500833645</v>
      </c>
      <c r="L87" s="323">
        <v>168.66860797911517</v>
      </c>
      <c r="M87" s="325"/>
      <c r="N87" s="325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4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4" x14ac:dyDescent="0.2">
      <c r="A91" s="112" t="s">
        <v>113</v>
      </c>
      <c r="B91" s="113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4" x14ac:dyDescent="0.2">
      <c r="A92" s="112"/>
      <c r="B92" s="113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4" x14ac:dyDescent="0.2">
      <c r="A93" s="112"/>
      <c r="B93" s="113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4" x14ac:dyDescent="0.2">
      <c r="A94" s="112"/>
      <c r="B94" s="113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4" x14ac:dyDescent="0.2">
      <c r="A95" s="112"/>
      <c r="B95" s="113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4" x14ac:dyDescent="0.2">
      <c r="A96" s="112"/>
      <c r="B96" s="113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4" x14ac:dyDescent="0.2">
      <c r="A97" s="112"/>
      <c r="B97" s="113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4" x14ac:dyDescent="0.2">
      <c r="A98" s="112"/>
      <c r="B98" s="113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4" x14ac:dyDescent="0.2">
      <c r="A99" s="112"/>
      <c r="B99" s="113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4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4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3">
        <f t="shared" si="26"/>
        <v>0.14870115854626248</v>
      </c>
      <c r="K102" s="73">
        <f t="shared" si="26"/>
        <v>2.2466662434534195</v>
      </c>
      <c r="L102" s="70">
        <f t="shared" si="26"/>
        <v>108.17484399301699</v>
      </c>
    </row>
    <row r="103" spans="1:14" ht="18" thickBot="1" x14ac:dyDescent="0.25">
      <c r="A103" s="74" t="s">
        <v>37</v>
      </c>
      <c r="B103" s="75">
        <f>SUM(C103:H103)</f>
        <v>100</v>
      </c>
      <c r="C103" s="75">
        <f>ROUND(+C102/B102*100,1)</f>
        <v>27.5</v>
      </c>
      <c r="D103" s="75">
        <f>ROUND(+D102/B102*100,1)</f>
        <v>6.7</v>
      </c>
      <c r="E103" s="75">
        <f>ROUND(+E102/B102*100,1)</f>
        <v>16.399999999999999</v>
      </c>
      <c r="F103" s="75">
        <f>ROUND(+F102/B102*100,1)</f>
        <v>44.5</v>
      </c>
      <c r="G103" s="75">
        <f>ROUND(+G102/B102*100,1)</f>
        <v>3.4</v>
      </c>
      <c r="H103" s="75">
        <f>ROUND(+H102/B102*100,1)</f>
        <v>1.5</v>
      </c>
      <c r="I103" s="106">
        <f>ROUND(+I102/B102*100,0)</f>
        <v>316</v>
      </c>
      <c r="J103" s="105">
        <f>ROUND(+J102/B102*100,2)</f>
        <v>0.23</v>
      </c>
      <c r="K103" s="105">
        <f>ROUND(+K102/B102*100,2)</f>
        <v>3.45</v>
      </c>
      <c r="L103" s="107">
        <f>ROUND(+L102/B102*100,0)</f>
        <v>166</v>
      </c>
    </row>
    <row r="104" spans="1:14" ht="18.75" thickTop="1" thickBot="1" x14ac:dyDescent="0.25">
      <c r="A104" s="76" t="s">
        <v>38</v>
      </c>
      <c r="B104" s="77">
        <f>SUM(C104:H104)</f>
        <v>100.99000000000001</v>
      </c>
      <c r="C104" s="342">
        <v>27.5</v>
      </c>
      <c r="D104" s="342">
        <v>6.7</v>
      </c>
      <c r="E104" s="342">
        <v>16.399999999999999</v>
      </c>
      <c r="F104" s="186">
        <v>45.49</v>
      </c>
      <c r="G104" s="343">
        <v>3.4</v>
      </c>
      <c r="H104" s="343">
        <v>1.5</v>
      </c>
      <c r="I104" s="344">
        <v>316</v>
      </c>
      <c r="J104" s="329">
        <v>0.23</v>
      </c>
      <c r="K104" s="329">
        <v>3.45</v>
      </c>
      <c r="L104" s="330">
        <v>166</v>
      </c>
      <c r="M104" s="325"/>
      <c r="N104" s="325"/>
    </row>
    <row r="105" spans="1:14" ht="18.75" thickTop="1" thickBot="1" x14ac:dyDescent="0.25">
      <c r="A105" s="79"/>
      <c r="B105" s="80"/>
      <c r="C105" s="185" t="s">
        <v>114</v>
      </c>
      <c r="D105" s="81"/>
      <c r="E105" s="81"/>
      <c r="F105" s="82" t="s">
        <v>20</v>
      </c>
      <c r="G105" s="83"/>
      <c r="H105" s="81"/>
      <c r="I105" s="81"/>
      <c r="J105" s="81" t="s">
        <v>115</v>
      </c>
      <c r="K105" s="81"/>
      <c r="L105" s="9"/>
    </row>
    <row r="106" spans="1:14" ht="18.75" thickTop="1" thickBot="1" x14ac:dyDescent="0.25">
      <c r="A106" s="79"/>
      <c r="B106" s="80"/>
      <c r="C106" s="81"/>
      <c r="D106" s="81"/>
      <c r="E106" s="81"/>
      <c r="F106" s="84">
        <f>SUM(F104:G104)</f>
        <v>48.89</v>
      </c>
      <c r="G106" s="81"/>
      <c r="H106" s="263" t="s">
        <v>178</v>
      </c>
      <c r="I106" s="264">
        <v>115</v>
      </c>
      <c r="J106" s="81"/>
      <c r="K106" s="81"/>
      <c r="L106" s="9"/>
    </row>
    <row r="107" spans="1:14" ht="19.5" thickTop="1" thickBot="1" x14ac:dyDescent="0.25">
      <c r="A107" s="2"/>
      <c r="B107" s="2"/>
      <c r="C107" s="2"/>
      <c r="D107" s="2"/>
      <c r="E107" s="85"/>
      <c r="F107" s="86"/>
      <c r="G107" s="2"/>
      <c r="H107" s="265" t="s">
        <v>179</v>
      </c>
      <c r="I107" s="266">
        <v>103</v>
      </c>
      <c r="J107" s="2"/>
      <c r="K107" s="2"/>
      <c r="L107" s="3"/>
    </row>
    <row r="108" spans="1:14" ht="18.75" thickBot="1" x14ac:dyDescent="0.25">
      <c r="A108" s="87" t="s">
        <v>40</v>
      </c>
      <c r="B108" s="88"/>
      <c r="C108" s="89">
        <f>ROUND(+D104*4+E104*9+F104*4+G104*2,0)</f>
        <v>363</v>
      </c>
      <c r="D108" s="87" t="s">
        <v>41</v>
      </c>
      <c r="E108" s="90"/>
      <c r="F108" s="85"/>
      <c r="G108" s="2"/>
      <c r="H108" s="267" t="s">
        <v>180</v>
      </c>
      <c r="I108" s="268">
        <v>10.5</v>
      </c>
      <c r="J108" s="2"/>
      <c r="K108" s="2"/>
      <c r="L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4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>
        <f>AG14</f>
        <v>237</v>
      </c>
      <c r="D113" s="118">
        <f>AG15</f>
        <v>4.4000000000000004</v>
      </c>
      <c r="E113" s="118">
        <f>AG16</f>
        <v>10.7</v>
      </c>
      <c r="F113" s="119">
        <f>AG17</f>
        <v>31.8</v>
      </c>
      <c r="G113" s="120">
        <f>AG20</f>
        <v>0.52</v>
      </c>
      <c r="H113" s="121">
        <f>AG25</f>
        <v>2.2400000000000002</v>
      </c>
      <c r="I113" s="120">
        <f>IF(AG13&gt;=100,AG26,IF(AE26&lt;0.3,0,AG26))</f>
        <v>0</v>
      </c>
      <c r="J113" s="122">
        <f>IF(AE27&lt;5,0,AG27)</f>
        <v>108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 t="s">
        <v>57</v>
      </c>
    </row>
    <row r="118" spans="1:12" x14ac:dyDescent="0.2">
      <c r="A118" s="103" t="s">
        <v>58</v>
      </c>
    </row>
    <row r="119" spans="1:12" x14ac:dyDescent="0.2">
      <c r="A119" s="127" t="s">
        <v>59</v>
      </c>
    </row>
    <row r="120" spans="1:12" x14ac:dyDescent="0.2">
      <c r="A120" s="103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11</vt:i4>
      </vt:variant>
    </vt:vector>
  </HeadingPairs>
  <TitlesOfParts>
    <vt:vector size="22" baseType="lpstr">
      <vt:lpstr>5成分</vt:lpstr>
      <vt:lpstr>食物繊維入り</vt:lpstr>
      <vt:lpstr>ｶﾙｼｳﾑ入り</vt:lpstr>
      <vt:lpstr>ｶﾙｼｳﾑ+ﾋﾞﾀﾐﾝＤ入り</vt:lpstr>
      <vt:lpstr>ﾋﾞﾀﾐﾝB1</vt:lpstr>
      <vt:lpstr>鉄</vt:lpstr>
      <vt:lpstr>その他成分</vt:lpstr>
      <vt:lpstr>食物繊維+その他成分①</vt:lpstr>
      <vt:lpstr>食物繊維+その他成分②</vt:lpstr>
      <vt:lpstr>食物繊維+脂肪酸</vt:lpstr>
      <vt:lpstr>（例）ふわりｼﾌｫﾝいちご</vt:lpstr>
      <vt:lpstr>'（例）ふわりｼﾌｫﾝいちご'!Print_Area</vt:lpstr>
      <vt:lpstr>'5成分'!Print_Area</vt:lpstr>
      <vt:lpstr>'ｶﾙｼｳﾑ+ﾋﾞﾀﾐﾝＤ入り'!Print_Area</vt:lpstr>
      <vt:lpstr>ｶﾙｼｳﾑ入り!Print_Area</vt:lpstr>
      <vt:lpstr>その他成分!Print_Area</vt:lpstr>
      <vt:lpstr>ﾋﾞﾀﾐﾝB1!Print_Area</vt:lpstr>
      <vt:lpstr>'食物繊維+その他成分①'!Print_Area</vt:lpstr>
      <vt:lpstr>'食物繊維+その他成分②'!Print_Area</vt:lpstr>
      <vt:lpstr>'食物繊維+脂肪酸'!Print_Area</vt:lpstr>
      <vt:lpstr>食物繊維入り!Print_Area</vt:lpstr>
      <vt:lpstr>鉄!Print_Area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2026-05-18T02:36:37Z</dcterms:modified>
</cp:coreProperties>
</file>