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-15" windowWidth="10260" windowHeight="8145" tabRatio="813"/>
  </bookViews>
  <sheets>
    <sheet name="分析値(日本食品検査)" sheetId="18" r:id="rId1"/>
    <sheet name="分析値(安全性)" sheetId="17" r:id="rId2"/>
    <sheet name="計算値" sheetId="16" r:id="rId3"/>
  </sheets>
  <definedNames>
    <definedName name="_xlnm.Print_Area" localSheetId="2">計算値!$AA$2:$AJ$43</definedName>
    <definedName name="_xlnm.Print_Area" localSheetId="1">'分析値(安全性)'!$AA$2:$AJ$43</definedName>
    <definedName name="_xlnm.Print_Area" localSheetId="0">'分析値(日本食品検査)'!$AA$2:$AJ$43</definedName>
  </definedNames>
  <calcPr calcId="145621"/>
</workbook>
</file>

<file path=xl/calcChain.xml><?xml version="1.0" encoding="utf-8"?>
<calcChain xmlns="http://schemas.openxmlformats.org/spreadsheetml/2006/main">
  <c r="AG18" i="18" l="1"/>
  <c r="F106" i="18"/>
  <c r="C106" i="18" l="1"/>
  <c r="M99" i="18"/>
  <c r="L99" i="18"/>
  <c r="K99" i="18"/>
  <c r="J99" i="18"/>
  <c r="I99" i="18"/>
  <c r="H99" i="18"/>
  <c r="G99" i="18"/>
  <c r="F99" i="18"/>
  <c r="E99" i="18"/>
  <c r="D99" i="18"/>
  <c r="B99" i="18"/>
  <c r="C99" i="18" s="1"/>
  <c r="A99" i="18"/>
  <c r="M98" i="18"/>
  <c r="L98" i="18"/>
  <c r="K98" i="18"/>
  <c r="J98" i="18"/>
  <c r="I98" i="18"/>
  <c r="H98" i="18"/>
  <c r="G98" i="18"/>
  <c r="B98" i="18"/>
  <c r="A98" i="18"/>
  <c r="M97" i="18"/>
  <c r="L97" i="18"/>
  <c r="K97" i="18"/>
  <c r="J97" i="18"/>
  <c r="I97" i="18"/>
  <c r="H97" i="18"/>
  <c r="G97" i="18"/>
  <c r="F97" i="18"/>
  <c r="B97" i="18"/>
  <c r="A97" i="18"/>
  <c r="M96" i="18"/>
  <c r="L96" i="18"/>
  <c r="K96" i="18"/>
  <c r="J96" i="18"/>
  <c r="I96" i="18"/>
  <c r="H96" i="18"/>
  <c r="G96" i="18"/>
  <c r="D96" i="18"/>
  <c r="C96" i="18"/>
  <c r="B96" i="18"/>
  <c r="A96" i="18"/>
  <c r="M95" i="18"/>
  <c r="L95" i="18"/>
  <c r="B95" i="18"/>
  <c r="A95" i="18"/>
  <c r="F94" i="18"/>
  <c r="E94" i="18"/>
  <c r="D94" i="18"/>
  <c r="B94" i="18"/>
  <c r="A94" i="18"/>
  <c r="B93" i="18"/>
  <c r="A93" i="18"/>
  <c r="B92" i="18"/>
  <c r="M92" i="18" s="1"/>
  <c r="A92" i="18"/>
  <c r="L92" i="18" s="1"/>
  <c r="B91" i="18"/>
  <c r="A91" i="18"/>
  <c r="L91" i="18" s="1"/>
  <c r="B90" i="18"/>
  <c r="M90" i="18" s="1"/>
  <c r="M89" i="18"/>
  <c r="M82" i="18"/>
  <c r="L82" i="18"/>
  <c r="K82" i="18"/>
  <c r="J82" i="18"/>
  <c r="I82" i="18"/>
  <c r="H82" i="18"/>
  <c r="G82" i="18"/>
  <c r="F82" i="18"/>
  <c r="E82" i="18"/>
  <c r="D82" i="18"/>
  <c r="B82" i="18"/>
  <c r="C82" i="18" s="1"/>
  <c r="A82" i="18"/>
  <c r="B81" i="18"/>
  <c r="A81" i="18"/>
  <c r="H80" i="18"/>
  <c r="G80" i="18"/>
  <c r="B80" i="18"/>
  <c r="A80" i="18"/>
  <c r="B79" i="18"/>
  <c r="A79" i="18"/>
  <c r="M78" i="18"/>
  <c r="D78" i="18"/>
  <c r="C78" i="18"/>
  <c r="B78" i="18"/>
  <c r="A78" i="18"/>
  <c r="B77" i="18"/>
  <c r="A77" i="18"/>
  <c r="B76" i="18"/>
  <c r="L76" i="18" s="1"/>
  <c r="A76" i="18"/>
  <c r="M75" i="18"/>
  <c r="L75" i="18"/>
  <c r="K75" i="18"/>
  <c r="H75" i="18"/>
  <c r="B75" i="18"/>
  <c r="F75" i="18" s="1"/>
  <c r="A75" i="18"/>
  <c r="M74" i="18"/>
  <c r="L74" i="18"/>
  <c r="I74" i="18"/>
  <c r="H74" i="18"/>
  <c r="G74" i="18"/>
  <c r="B74" i="18"/>
  <c r="A74" i="18"/>
  <c r="M73" i="18"/>
  <c r="J73" i="18"/>
  <c r="I73" i="18"/>
  <c r="H73" i="18"/>
  <c r="G73" i="18"/>
  <c r="F73" i="18"/>
  <c r="B73" i="18"/>
  <c r="A73" i="18"/>
  <c r="K72" i="18"/>
  <c r="J72" i="18"/>
  <c r="I72" i="18"/>
  <c r="H72" i="18"/>
  <c r="G72" i="18"/>
  <c r="F72" i="18"/>
  <c r="E72" i="18"/>
  <c r="B72" i="18"/>
  <c r="A72" i="18"/>
  <c r="M71" i="18"/>
  <c r="L71" i="18"/>
  <c r="K71" i="18"/>
  <c r="J71" i="18"/>
  <c r="I71" i="18"/>
  <c r="H71" i="18"/>
  <c r="G71" i="18"/>
  <c r="F71" i="18"/>
  <c r="E71" i="18"/>
  <c r="D71" i="18"/>
  <c r="C71" i="18"/>
  <c r="B71" i="18"/>
  <c r="A71" i="18"/>
  <c r="M70" i="18"/>
  <c r="L70" i="18"/>
  <c r="K70" i="18"/>
  <c r="J70" i="18"/>
  <c r="I70" i="18"/>
  <c r="H70" i="18"/>
  <c r="G70" i="18"/>
  <c r="F70" i="18"/>
  <c r="E70" i="18"/>
  <c r="D70" i="18"/>
  <c r="B70" i="18"/>
  <c r="C70" i="18" s="1"/>
  <c r="A70" i="18"/>
  <c r="M69" i="18"/>
  <c r="L69" i="18"/>
  <c r="K69" i="18"/>
  <c r="J69" i="18"/>
  <c r="I69" i="18"/>
  <c r="H69" i="18"/>
  <c r="G69" i="18"/>
  <c r="B69" i="18"/>
  <c r="A69" i="18"/>
  <c r="M68" i="18"/>
  <c r="L68" i="18"/>
  <c r="K68" i="18"/>
  <c r="J68" i="18"/>
  <c r="I68" i="18"/>
  <c r="H68" i="18"/>
  <c r="G68" i="18"/>
  <c r="F68" i="18"/>
  <c r="B68" i="18"/>
  <c r="A68" i="18"/>
  <c r="M67" i="18"/>
  <c r="L67" i="18"/>
  <c r="K67" i="18"/>
  <c r="J67" i="18"/>
  <c r="I67" i="18"/>
  <c r="H67" i="18"/>
  <c r="G67" i="18"/>
  <c r="D67" i="18"/>
  <c r="C67" i="18"/>
  <c r="B67" i="18"/>
  <c r="A67" i="18"/>
  <c r="B66" i="18"/>
  <c r="I66" i="18" s="1"/>
  <c r="A66" i="18"/>
  <c r="F65" i="18"/>
  <c r="E65" i="18"/>
  <c r="D65" i="18"/>
  <c r="C65" i="18"/>
  <c r="B65" i="18"/>
  <c r="A65" i="18"/>
  <c r="B64" i="18"/>
  <c r="A64" i="18"/>
  <c r="B63" i="18"/>
  <c r="M63" i="18" s="1"/>
  <c r="A63" i="18"/>
  <c r="B62" i="18"/>
  <c r="A62" i="18"/>
  <c r="B61" i="18"/>
  <c r="A61" i="18"/>
  <c r="L60" i="18"/>
  <c r="B60" i="18"/>
  <c r="A60" i="18"/>
  <c r="M59" i="18"/>
  <c r="L59" i="18"/>
  <c r="K59" i="18"/>
  <c r="J59" i="18"/>
  <c r="I59" i="18"/>
  <c r="H59" i="18"/>
  <c r="G59" i="18"/>
  <c r="F59" i="18"/>
  <c r="E59" i="18"/>
  <c r="D59" i="18"/>
  <c r="C59" i="18"/>
  <c r="B59" i="18"/>
  <c r="A59" i="18"/>
  <c r="B58" i="18"/>
  <c r="E58" i="18" s="1"/>
  <c r="A58" i="18"/>
  <c r="B57" i="18"/>
  <c r="A57" i="18"/>
  <c r="B56" i="18"/>
  <c r="L56" i="18" s="1"/>
  <c r="A56" i="18"/>
  <c r="B55" i="18"/>
  <c r="A55" i="18"/>
  <c r="B54" i="18"/>
  <c r="M54" i="18" s="1"/>
  <c r="A54" i="18"/>
  <c r="B53" i="18"/>
  <c r="A53" i="18"/>
  <c r="M52" i="18"/>
  <c r="N49" i="18"/>
  <c r="N48" i="18"/>
  <c r="N47" i="18"/>
  <c r="N46" i="18"/>
  <c r="N45" i="18"/>
  <c r="N44" i="18"/>
  <c r="N43" i="18"/>
  <c r="N42" i="18"/>
  <c r="N41" i="18"/>
  <c r="N40" i="18"/>
  <c r="M39" i="18"/>
  <c r="AA38" i="18"/>
  <c r="AA37" i="18"/>
  <c r="N37" i="18"/>
  <c r="AA36" i="18"/>
  <c r="N36" i="18"/>
  <c r="AE35" i="18"/>
  <c r="N35" i="18"/>
  <c r="N34" i="18"/>
  <c r="N33" i="18"/>
  <c r="N32" i="18"/>
  <c r="N31" i="18"/>
  <c r="N30" i="18"/>
  <c r="N29" i="18"/>
  <c r="N28" i="18"/>
  <c r="N27" i="18"/>
  <c r="AE26" i="18"/>
  <c r="N26" i="18"/>
  <c r="AE25" i="18"/>
  <c r="N25" i="18"/>
  <c r="AE24" i="18"/>
  <c r="N24" i="18"/>
  <c r="AE23" i="18"/>
  <c r="AE22" i="18"/>
  <c r="AE21" i="18"/>
  <c r="AE19" i="18"/>
  <c r="AA19" i="18"/>
  <c r="AK18" i="18"/>
  <c r="AE18" i="18"/>
  <c r="AE16" i="18"/>
  <c r="AE15" i="18"/>
  <c r="AA14" i="18"/>
  <c r="AG12" i="18"/>
  <c r="E111" i="18" s="1"/>
  <c r="AB7" i="18"/>
  <c r="AI5" i="18"/>
  <c r="D81" i="18" l="1"/>
  <c r="C81" i="18"/>
  <c r="J81" i="18"/>
  <c r="M81" i="18"/>
  <c r="L81" i="18"/>
  <c r="K81" i="18"/>
  <c r="I90" i="18"/>
  <c r="J92" i="18"/>
  <c r="I92" i="18"/>
  <c r="K92" i="18"/>
  <c r="H92" i="18"/>
  <c r="G92" i="18"/>
  <c r="F92" i="18"/>
  <c r="E92" i="18"/>
  <c r="C56" i="18"/>
  <c r="L61" i="18"/>
  <c r="I61" i="18"/>
  <c r="E61" i="18"/>
  <c r="D61" i="18"/>
  <c r="H61" i="18"/>
  <c r="G61" i="18"/>
  <c r="F61" i="18"/>
  <c r="D54" i="18"/>
  <c r="D56" i="18"/>
  <c r="C61" i="18"/>
  <c r="D63" i="18"/>
  <c r="F79" i="18"/>
  <c r="E79" i="18"/>
  <c r="M79" i="18"/>
  <c r="L79" i="18"/>
  <c r="K79" i="18"/>
  <c r="J79" i="18"/>
  <c r="I79" i="18"/>
  <c r="H79" i="18"/>
  <c r="J90" i="18"/>
  <c r="G95" i="18"/>
  <c r="F95" i="18"/>
  <c r="J95" i="18"/>
  <c r="K95" i="18"/>
  <c r="C79" i="18"/>
  <c r="F81" i="18"/>
  <c r="I93" i="18"/>
  <c r="H93" i="18"/>
  <c r="F93" i="18"/>
  <c r="K93" i="18"/>
  <c r="J93" i="18"/>
  <c r="G93" i="18"/>
  <c r="C95" i="18"/>
  <c r="H53" i="18"/>
  <c r="B83" i="18"/>
  <c r="B85" i="18" s="1"/>
  <c r="K53" i="18"/>
  <c r="J53" i="18"/>
  <c r="G53" i="18"/>
  <c r="F53" i="18"/>
  <c r="I53" i="18"/>
  <c r="M61" i="18"/>
  <c r="I64" i="18"/>
  <c r="H64" i="18"/>
  <c r="M64" i="18"/>
  <c r="F64" i="18"/>
  <c r="L64" i="18"/>
  <c r="K64" i="18"/>
  <c r="J64" i="18"/>
  <c r="G64" i="18"/>
  <c r="C66" i="18"/>
  <c r="H77" i="18"/>
  <c r="G77" i="18"/>
  <c r="K77" i="18"/>
  <c r="D77" i="18"/>
  <c r="J77" i="18"/>
  <c r="I77" i="18"/>
  <c r="F77" i="18"/>
  <c r="E77" i="18"/>
  <c r="D79" i="18"/>
  <c r="G81" i="18"/>
  <c r="C93" i="18"/>
  <c r="D95" i="18"/>
  <c r="C53" i="18"/>
  <c r="F55" i="18"/>
  <c r="K55" i="18"/>
  <c r="G55" i="18"/>
  <c r="J55" i="18"/>
  <c r="I55" i="18"/>
  <c r="H55" i="18"/>
  <c r="E55" i="18"/>
  <c r="D57" i="18"/>
  <c r="K57" i="18"/>
  <c r="J57" i="18"/>
  <c r="H57" i="18"/>
  <c r="F57" i="18"/>
  <c r="I57" i="18"/>
  <c r="G57" i="18"/>
  <c r="C64" i="18"/>
  <c r="D66" i="18"/>
  <c r="C77" i="18"/>
  <c r="G79" i="18"/>
  <c r="H81" i="18"/>
  <c r="K91" i="18"/>
  <c r="J91" i="18"/>
  <c r="I91" i="18"/>
  <c r="E91" i="18"/>
  <c r="D91" i="18"/>
  <c r="H91" i="18"/>
  <c r="G91" i="18"/>
  <c r="F91" i="18"/>
  <c r="D93" i="18"/>
  <c r="E95" i="18"/>
  <c r="D53" i="18"/>
  <c r="C55" i="18"/>
  <c r="C57" i="18"/>
  <c r="K62" i="18"/>
  <c r="J62" i="18"/>
  <c r="I62" i="18"/>
  <c r="H62" i="18"/>
  <c r="G62" i="18"/>
  <c r="F62" i="18"/>
  <c r="E62" i="18"/>
  <c r="D62" i="18"/>
  <c r="E66" i="18"/>
  <c r="L77" i="18"/>
  <c r="I81" i="18"/>
  <c r="E93" i="18"/>
  <c r="E64" i="18"/>
  <c r="M77" i="18"/>
  <c r="E80" i="18"/>
  <c r="D80" i="18"/>
  <c r="J80" i="18"/>
  <c r="I80" i="18"/>
  <c r="M80" i="18"/>
  <c r="L80" i="18"/>
  <c r="K80" i="18"/>
  <c r="M94" i="18"/>
  <c r="L94" i="18"/>
  <c r="I95" i="18"/>
  <c r="L53" i="18"/>
  <c r="C80" i="18"/>
  <c r="M91" i="18"/>
  <c r="M102" i="18" s="1"/>
  <c r="M103" i="18" s="1"/>
  <c r="H94" i="18"/>
  <c r="G94" i="18"/>
  <c r="I94" i="18"/>
  <c r="K94" i="18"/>
  <c r="J94" i="18"/>
  <c r="G54" i="18"/>
  <c r="K54" i="18"/>
  <c r="J54" i="18"/>
  <c r="H54" i="18"/>
  <c r="E54" i="18"/>
  <c r="I54" i="18"/>
  <c r="F54" i="18"/>
  <c r="E56" i="18"/>
  <c r="K56" i="18"/>
  <c r="J56" i="18"/>
  <c r="H56" i="18"/>
  <c r="G56" i="18"/>
  <c r="F56" i="18"/>
  <c r="I56" i="18"/>
  <c r="C58" i="18"/>
  <c r="K58" i="18"/>
  <c r="J58" i="18"/>
  <c r="I58" i="18"/>
  <c r="H58" i="18"/>
  <c r="G58" i="18"/>
  <c r="F58" i="18"/>
  <c r="J63" i="18"/>
  <c r="I63" i="18"/>
  <c r="L63" i="18"/>
  <c r="G63" i="18"/>
  <c r="F63" i="18"/>
  <c r="E63" i="18"/>
  <c r="K63" i="18"/>
  <c r="H63" i="18"/>
  <c r="I76" i="18"/>
  <c r="H76" i="18"/>
  <c r="J76" i="18"/>
  <c r="D76" i="18"/>
  <c r="G76" i="18"/>
  <c r="F76" i="18"/>
  <c r="E76" i="18"/>
  <c r="C76" i="18"/>
  <c r="C92" i="18"/>
  <c r="C54" i="18"/>
  <c r="D58" i="18"/>
  <c r="C63" i="18"/>
  <c r="K76" i="18"/>
  <c r="L90" i="18"/>
  <c r="B100" i="18"/>
  <c r="B102" i="18" s="1"/>
  <c r="AG13" i="18" s="1"/>
  <c r="K90" i="18"/>
  <c r="H90" i="18"/>
  <c r="C90" i="18"/>
  <c r="C100" i="18" s="1"/>
  <c r="C102" i="18" s="1"/>
  <c r="C103" i="18" s="1"/>
  <c r="G90" i="18"/>
  <c r="E90" i="18"/>
  <c r="D90" i="18"/>
  <c r="D92" i="18"/>
  <c r="L54" i="18"/>
  <c r="L58" i="18"/>
  <c r="J61" i="18"/>
  <c r="M76" i="18"/>
  <c r="E81" i="18"/>
  <c r="M93" i="18"/>
  <c r="L93" i="18"/>
  <c r="M56" i="18"/>
  <c r="M58" i="18"/>
  <c r="K61" i="18"/>
  <c r="G66" i="18"/>
  <c r="F66" i="18"/>
  <c r="J66" i="18"/>
  <c r="M66" i="18"/>
  <c r="L66" i="18"/>
  <c r="K66" i="18"/>
  <c r="M60" i="18"/>
  <c r="I60" i="18"/>
  <c r="H60" i="18"/>
  <c r="F60" i="18"/>
  <c r="E60" i="18"/>
  <c r="D60" i="18"/>
  <c r="G60" i="18"/>
  <c r="D64" i="18"/>
  <c r="C91" i="18"/>
  <c r="H95" i="18"/>
  <c r="E53" i="18"/>
  <c r="D55" i="18"/>
  <c r="E57" i="18"/>
  <c r="C60" i="18"/>
  <c r="C62" i="18"/>
  <c r="H66" i="18"/>
  <c r="L55" i="18"/>
  <c r="L57" i="18"/>
  <c r="J60" i="18"/>
  <c r="L62" i="18"/>
  <c r="M53" i="18"/>
  <c r="M55" i="18"/>
  <c r="M57" i="18"/>
  <c r="K60" i="18"/>
  <c r="M62" i="18"/>
  <c r="H65" i="18"/>
  <c r="G65" i="18"/>
  <c r="J65" i="18"/>
  <c r="M65" i="18"/>
  <c r="L65" i="18"/>
  <c r="K65" i="18"/>
  <c r="I65" i="18"/>
  <c r="G78" i="18"/>
  <c r="F78" i="18"/>
  <c r="L78" i="18"/>
  <c r="H78" i="18"/>
  <c r="E78" i="18"/>
  <c r="K78" i="18"/>
  <c r="J78" i="18"/>
  <c r="I78" i="18"/>
  <c r="F80" i="18"/>
  <c r="C94" i="18"/>
  <c r="K74" i="18"/>
  <c r="J74" i="18"/>
  <c r="L73" i="18"/>
  <c r="K73" i="18"/>
  <c r="C74" i="18"/>
  <c r="D75" i="18"/>
  <c r="D69" i="18"/>
  <c r="C69" i="18"/>
  <c r="M72" i="18"/>
  <c r="L72" i="18"/>
  <c r="C73" i="18"/>
  <c r="D74" i="18"/>
  <c r="E75" i="18"/>
  <c r="D98" i="18"/>
  <c r="C98" i="18"/>
  <c r="E68" i="18"/>
  <c r="D68" i="18"/>
  <c r="E69" i="18"/>
  <c r="C72" i="18"/>
  <c r="D73" i="18"/>
  <c r="E74" i="18"/>
  <c r="E97" i="18"/>
  <c r="D97" i="18"/>
  <c r="E98" i="18"/>
  <c r="J75" i="18"/>
  <c r="I75" i="18"/>
  <c r="C75" i="18"/>
  <c r="F67" i="18"/>
  <c r="E67" i="18"/>
  <c r="C68" i="18"/>
  <c r="F69" i="18"/>
  <c r="D72" i="18"/>
  <c r="E73" i="18"/>
  <c r="F74" i="18"/>
  <c r="G75" i="18"/>
  <c r="F96" i="18"/>
  <c r="E96" i="18"/>
  <c r="C97" i="18"/>
  <c r="F98" i="18"/>
  <c r="C106" i="17"/>
  <c r="L99" i="17"/>
  <c r="K99" i="17"/>
  <c r="I99" i="17"/>
  <c r="H99" i="17"/>
  <c r="G99" i="17"/>
  <c r="F99" i="17"/>
  <c r="E99" i="17"/>
  <c r="D99" i="17"/>
  <c r="C99" i="17"/>
  <c r="B99" i="17"/>
  <c r="J99" i="17" s="1"/>
  <c r="A99" i="17"/>
  <c r="M99" i="17" s="1"/>
  <c r="M98" i="17"/>
  <c r="J98" i="17"/>
  <c r="I98" i="17"/>
  <c r="H98" i="17"/>
  <c r="G98" i="17"/>
  <c r="F98" i="17"/>
  <c r="E98" i="17"/>
  <c r="D98" i="17"/>
  <c r="B98" i="17"/>
  <c r="C98" i="17" s="1"/>
  <c r="A98" i="17"/>
  <c r="L98" i="17" s="1"/>
  <c r="J97" i="17"/>
  <c r="I97" i="17"/>
  <c r="H97" i="17"/>
  <c r="G97" i="17"/>
  <c r="E97" i="17"/>
  <c r="B97" i="17"/>
  <c r="A97" i="17"/>
  <c r="M97" i="17" s="1"/>
  <c r="L96" i="17"/>
  <c r="K96" i="17"/>
  <c r="J96" i="17"/>
  <c r="I96" i="17"/>
  <c r="H96" i="17"/>
  <c r="G96" i="17"/>
  <c r="F96" i="17"/>
  <c r="C96" i="17"/>
  <c r="B96" i="17"/>
  <c r="A96" i="17"/>
  <c r="M96" i="17" s="1"/>
  <c r="L95" i="17"/>
  <c r="K95" i="17"/>
  <c r="J95" i="17"/>
  <c r="I95" i="17"/>
  <c r="H95" i="17"/>
  <c r="G95" i="17"/>
  <c r="E95" i="17"/>
  <c r="D95" i="17"/>
  <c r="C95" i="17"/>
  <c r="B95" i="17"/>
  <c r="F95" i="17" s="1"/>
  <c r="A95" i="17"/>
  <c r="M95" i="17" s="1"/>
  <c r="K94" i="17"/>
  <c r="J94" i="17"/>
  <c r="I94" i="17"/>
  <c r="H94" i="17"/>
  <c r="E94" i="17"/>
  <c r="D94" i="17"/>
  <c r="B94" i="17"/>
  <c r="G94" i="17" s="1"/>
  <c r="A94" i="17"/>
  <c r="M93" i="17"/>
  <c r="B93" i="17"/>
  <c r="J93" i="17" s="1"/>
  <c r="A93" i="17"/>
  <c r="L93" i="17" s="1"/>
  <c r="M92" i="17"/>
  <c r="L92" i="17"/>
  <c r="K92" i="17"/>
  <c r="J92" i="17"/>
  <c r="F92" i="17"/>
  <c r="B92" i="17"/>
  <c r="A92" i="17"/>
  <c r="M91" i="17"/>
  <c r="L91" i="17"/>
  <c r="K91" i="17"/>
  <c r="H91" i="17"/>
  <c r="G91" i="17"/>
  <c r="D91" i="17"/>
  <c r="C91" i="17"/>
  <c r="B91" i="17"/>
  <c r="A91" i="17"/>
  <c r="B90" i="17"/>
  <c r="M89" i="17"/>
  <c r="M82" i="17"/>
  <c r="L82" i="17"/>
  <c r="K82" i="17"/>
  <c r="J82" i="17"/>
  <c r="I82" i="17"/>
  <c r="H82" i="17"/>
  <c r="G82" i="17"/>
  <c r="F82" i="17"/>
  <c r="E82" i="17"/>
  <c r="D82" i="17"/>
  <c r="C82" i="17"/>
  <c r="B82" i="17"/>
  <c r="A82" i="17"/>
  <c r="M81" i="17"/>
  <c r="L81" i="17"/>
  <c r="J81" i="17"/>
  <c r="I81" i="17"/>
  <c r="H81" i="17"/>
  <c r="G81" i="17"/>
  <c r="F81" i="17"/>
  <c r="E81" i="17"/>
  <c r="D81" i="17"/>
  <c r="B81" i="17"/>
  <c r="C81" i="17" s="1"/>
  <c r="A81" i="17"/>
  <c r="B80" i="17"/>
  <c r="A80" i="17"/>
  <c r="K79" i="17"/>
  <c r="J79" i="17"/>
  <c r="I79" i="17"/>
  <c r="B79" i="17"/>
  <c r="F79" i="17" s="1"/>
  <c r="A79" i="17"/>
  <c r="M78" i="17"/>
  <c r="L78" i="17"/>
  <c r="K78" i="17"/>
  <c r="J78" i="17"/>
  <c r="I78" i="17"/>
  <c r="H78" i="17"/>
  <c r="G78" i="17"/>
  <c r="E78" i="17"/>
  <c r="D78" i="17"/>
  <c r="C78" i="17"/>
  <c r="B78" i="17"/>
  <c r="F78" i="17" s="1"/>
  <c r="A78" i="17"/>
  <c r="M77" i="17"/>
  <c r="L77" i="17"/>
  <c r="K77" i="17"/>
  <c r="J77" i="17"/>
  <c r="I77" i="17"/>
  <c r="H77" i="17"/>
  <c r="E77" i="17"/>
  <c r="D77" i="17"/>
  <c r="B77" i="17"/>
  <c r="G77" i="17" s="1"/>
  <c r="A77" i="17"/>
  <c r="B76" i="17"/>
  <c r="A76" i="17"/>
  <c r="B75" i="17"/>
  <c r="A75" i="17"/>
  <c r="M74" i="17"/>
  <c r="B74" i="17"/>
  <c r="A74" i="17"/>
  <c r="M73" i="17"/>
  <c r="L73" i="17"/>
  <c r="I73" i="17"/>
  <c r="B73" i="17"/>
  <c r="A73" i="17"/>
  <c r="M72" i="17"/>
  <c r="J72" i="17"/>
  <c r="I72" i="17"/>
  <c r="G72" i="17"/>
  <c r="F72" i="17"/>
  <c r="D72" i="17"/>
  <c r="B72" i="17"/>
  <c r="A72" i="17"/>
  <c r="K71" i="17"/>
  <c r="J71" i="17"/>
  <c r="H71" i="17"/>
  <c r="G71" i="17"/>
  <c r="F71" i="17"/>
  <c r="E71" i="17"/>
  <c r="D71" i="17"/>
  <c r="B71" i="17"/>
  <c r="A71" i="17"/>
  <c r="M70" i="17"/>
  <c r="L70" i="17"/>
  <c r="K70" i="17"/>
  <c r="J70" i="17"/>
  <c r="I70" i="17"/>
  <c r="H70" i="17"/>
  <c r="G70" i="17"/>
  <c r="F70" i="17"/>
  <c r="E70" i="17"/>
  <c r="D70" i="17"/>
  <c r="C70" i="17"/>
  <c r="B70" i="17"/>
  <c r="A70" i="17"/>
  <c r="M69" i="17"/>
  <c r="L69" i="17"/>
  <c r="J69" i="17"/>
  <c r="I69" i="17"/>
  <c r="H69" i="17"/>
  <c r="G69" i="17"/>
  <c r="F69" i="17"/>
  <c r="E69" i="17"/>
  <c r="D69" i="17"/>
  <c r="B69" i="17"/>
  <c r="C69" i="17" s="1"/>
  <c r="A69" i="17"/>
  <c r="B68" i="17"/>
  <c r="A68" i="17"/>
  <c r="B67" i="17"/>
  <c r="A67" i="17"/>
  <c r="M66" i="17"/>
  <c r="L66" i="17"/>
  <c r="K66" i="17"/>
  <c r="J66" i="17"/>
  <c r="I66" i="17"/>
  <c r="H66" i="17"/>
  <c r="G66" i="17"/>
  <c r="E66" i="17"/>
  <c r="D66" i="17"/>
  <c r="C66" i="17"/>
  <c r="B66" i="17"/>
  <c r="F66" i="17" s="1"/>
  <c r="A66" i="17"/>
  <c r="M65" i="17"/>
  <c r="B65" i="17"/>
  <c r="J65" i="17" s="1"/>
  <c r="A65" i="17"/>
  <c r="M64" i="17"/>
  <c r="L64" i="17"/>
  <c r="K64" i="17"/>
  <c r="B64" i="17"/>
  <c r="F64" i="17" s="1"/>
  <c r="A64" i="17"/>
  <c r="M63" i="17"/>
  <c r="L63" i="17"/>
  <c r="K63" i="17"/>
  <c r="J63" i="17"/>
  <c r="G63" i="17"/>
  <c r="D63" i="17"/>
  <c r="B63" i="17"/>
  <c r="A63" i="17"/>
  <c r="M62" i="17"/>
  <c r="L62" i="17"/>
  <c r="K62" i="17"/>
  <c r="H62" i="17"/>
  <c r="G62" i="17"/>
  <c r="E62" i="17"/>
  <c r="D62" i="17"/>
  <c r="B62" i="17"/>
  <c r="A62" i="17"/>
  <c r="B61" i="17"/>
  <c r="A61" i="17"/>
  <c r="B60" i="17"/>
  <c r="A60" i="17"/>
  <c r="K59" i="17"/>
  <c r="B59" i="17"/>
  <c r="A59" i="17"/>
  <c r="M58" i="17"/>
  <c r="L58" i="17"/>
  <c r="K58" i="17"/>
  <c r="J58" i="17"/>
  <c r="I58" i="17"/>
  <c r="H58" i="17"/>
  <c r="G58" i="17"/>
  <c r="F58" i="17"/>
  <c r="E58" i="17"/>
  <c r="D58" i="17"/>
  <c r="C58" i="17"/>
  <c r="B58" i="17"/>
  <c r="A58" i="17"/>
  <c r="M57" i="17"/>
  <c r="L57" i="17"/>
  <c r="J57" i="17"/>
  <c r="I57" i="17"/>
  <c r="H57" i="17"/>
  <c r="G57" i="17"/>
  <c r="F57" i="17"/>
  <c r="E57" i="17"/>
  <c r="D57" i="17"/>
  <c r="B57" i="17"/>
  <c r="C57" i="17" s="1"/>
  <c r="A57" i="17"/>
  <c r="M56" i="17"/>
  <c r="K56" i="17"/>
  <c r="J56" i="17"/>
  <c r="B56" i="17"/>
  <c r="G56" i="17" s="1"/>
  <c r="A56" i="17"/>
  <c r="L55" i="17"/>
  <c r="K55" i="17"/>
  <c r="J55" i="17"/>
  <c r="I55" i="17"/>
  <c r="H55" i="17"/>
  <c r="F55" i="17"/>
  <c r="B55" i="17"/>
  <c r="A55" i="17"/>
  <c r="M54" i="17"/>
  <c r="L54" i="17"/>
  <c r="K54" i="17"/>
  <c r="J54" i="17"/>
  <c r="I54" i="17"/>
  <c r="H54" i="17"/>
  <c r="G54" i="17"/>
  <c r="E54" i="17"/>
  <c r="D54" i="17"/>
  <c r="C54" i="17"/>
  <c r="B54" i="17"/>
  <c r="F54" i="17" s="1"/>
  <c r="A54" i="17"/>
  <c r="M53" i="17"/>
  <c r="L53" i="17"/>
  <c r="K53" i="17"/>
  <c r="J53" i="17"/>
  <c r="I53" i="17"/>
  <c r="H53" i="17"/>
  <c r="E53" i="17"/>
  <c r="B53" i="17"/>
  <c r="A53" i="17"/>
  <c r="M52" i="17"/>
  <c r="N49" i="17"/>
  <c r="N48" i="17"/>
  <c r="N47" i="17"/>
  <c r="N46" i="17"/>
  <c r="N45" i="17"/>
  <c r="N44" i="17"/>
  <c r="N43" i="17"/>
  <c r="N42" i="17"/>
  <c r="N41" i="17"/>
  <c r="N40" i="17"/>
  <c r="M39" i="17"/>
  <c r="AA38" i="17"/>
  <c r="AA37" i="17"/>
  <c r="N37" i="17"/>
  <c r="AA36" i="17"/>
  <c r="N36" i="17"/>
  <c r="AE35" i="17"/>
  <c r="N35" i="17"/>
  <c r="N34" i="17"/>
  <c r="N33" i="17"/>
  <c r="N32" i="17"/>
  <c r="N31" i="17"/>
  <c r="N30" i="17"/>
  <c r="N29" i="17"/>
  <c r="N28" i="17"/>
  <c r="N27" i="17"/>
  <c r="AE26" i="17"/>
  <c r="N26" i="17"/>
  <c r="AE25" i="17"/>
  <c r="N25" i="17"/>
  <c r="AE24" i="17"/>
  <c r="N24" i="17"/>
  <c r="AE23" i="17"/>
  <c r="AE22" i="17"/>
  <c r="AE21" i="17"/>
  <c r="AE19" i="17"/>
  <c r="AA19" i="17"/>
  <c r="AE16" i="17"/>
  <c r="AE15" i="17"/>
  <c r="AA14" i="17"/>
  <c r="AG12" i="17"/>
  <c r="E111" i="17" s="1"/>
  <c r="AB7" i="17"/>
  <c r="AI5" i="17"/>
  <c r="G100" i="18" l="1"/>
  <c r="G102" i="18"/>
  <c r="G103" i="18" s="1"/>
  <c r="AG22" i="18"/>
  <c r="AG16" i="18"/>
  <c r="E113" i="18" s="1"/>
  <c r="I113" i="18"/>
  <c r="AG23" i="18"/>
  <c r="AG21" i="18"/>
  <c r="G113" i="18" s="1"/>
  <c r="AG25" i="18"/>
  <c r="Z25" i="18" s="1"/>
  <c r="AG26" i="18"/>
  <c r="J113" i="18" s="1"/>
  <c r="AG15" i="18"/>
  <c r="AG24" i="18"/>
  <c r="AG19" i="18"/>
  <c r="K113" i="18" s="1"/>
  <c r="G85" i="18"/>
  <c r="G86" i="18" s="1"/>
  <c r="G83" i="18"/>
  <c r="M83" i="18"/>
  <c r="M85" i="18"/>
  <c r="M86" i="18" s="1"/>
  <c r="L83" i="18"/>
  <c r="L85" i="18"/>
  <c r="L86" i="18" s="1"/>
  <c r="K83" i="18"/>
  <c r="K85" i="18"/>
  <c r="K86" i="18" s="1"/>
  <c r="H83" i="18"/>
  <c r="H85" i="18"/>
  <c r="H86" i="18" s="1"/>
  <c r="D100" i="18"/>
  <c r="D102" i="18"/>
  <c r="D103" i="18" s="1"/>
  <c r="D83" i="18"/>
  <c r="D85" i="18"/>
  <c r="D86" i="18" s="1"/>
  <c r="M100" i="18"/>
  <c r="H100" i="18"/>
  <c r="H102" i="18"/>
  <c r="H103" i="18" s="1"/>
  <c r="K100" i="18"/>
  <c r="K102" i="18"/>
  <c r="K103" i="18" s="1"/>
  <c r="I85" i="18"/>
  <c r="I86" i="18" s="1"/>
  <c r="I83" i="18"/>
  <c r="I102" i="18"/>
  <c r="I103" i="18" s="1"/>
  <c r="I100" i="18"/>
  <c r="C83" i="18"/>
  <c r="C85" i="18" s="1"/>
  <c r="C86" i="18" s="1"/>
  <c r="F85" i="18"/>
  <c r="F86" i="18" s="1"/>
  <c r="F83" i="18"/>
  <c r="L100" i="18"/>
  <c r="L102" i="18"/>
  <c r="L103" i="18" s="1"/>
  <c r="E83" i="18"/>
  <c r="E85" i="18"/>
  <c r="E86" i="18" s="1"/>
  <c r="J83" i="18"/>
  <c r="J85" i="18"/>
  <c r="J86" i="18" s="1"/>
  <c r="E102" i="18"/>
  <c r="E103" i="18" s="1"/>
  <c r="E100" i="18"/>
  <c r="J102" i="18"/>
  <c r="J103" i="18" s="1"/>
  <c r="J100" i="18"/>
  <c r="AK18" i="17"/>
  <c r="AE18" i="17"/>
  <c r="E67" i="17"/>
  <c r="D67" i="17"/>
  <c r="M67" i="17"/>
  <c r="L67" i="17"/>
  <c r="I67" i="17"/>
  <c r="G67" i="17"/>
  <c r="C67" i="17"/>
  <c r="F67" i="17"/>
  <c r="K67" i="17"/>
  <c r="J67" i="17"/>
  <c r="H67" i="17"/>
  <c r="B100" i="17"/>
  <c r="B102" i="17" s="1"/>
  <c r="AG13" i="17" s="1"/>
  <c r="K90" i="17"/>
  <c r="J90" i="17"/>
  <c r="G90" i="17"/>
  <c r="I90" i="17"/>
  <c r="C90" i="17"/>
  <c r="M90" i="17"/>
  <c r="L90" i="17"/>
  <c r="H90" i="17"/>
  <c r="E90" i="17"/>
  <c r="D90" i="17"/>
  <c r="D68" i="17"/>
  <c r="C68" i="17"/>
  <c r="L68" i="17"/>
  <c r="K68" i="17"/>
  <c r="I68" i="17"/>
  <c r="H68" i="17"/>
  <c r="M68" i="17"/>
  <c r="J68" i="17"/>
  <c r="G68" i="17"/>
  <c r="L60" i="17"/>
  <c r="K60" i="17"/>
  <c r="H60" i="17"/>
  <c r="M60" i="17"/>
  <c r="G60" i="17"/>
  <c r="E60" i="17"/>
  <c r="D60" i="17"/>
  <c r="J60" i="17"/>
  <c r="I60" i="17"/>
  <c r="F60" i="17"/>
  <c r="E68" i="17"/>
  <c r="K61" i="17"/>
  <c r="J61" i="17"/>
  <c r="G61" i="17"/>
  <c r="L61" i="17"/>
  <c r="I61" i="17"/>
  <c r="H61" i="17"/>
  <c r="H83" i="17" s="1"/>
  <c r="M61" i="17"/>
  <c r="F61" i="17"/>
  <c r="C61" i="17"/>
  <c r="I75" i="17"/>
  <c r="H75" i="17"/>
  <c r="E75" i="17"/>
  <c r="M75" i="17"/>
  <c r="J75" i="17"/>
  <c r="L75" i="17"/>
  <c r="K75" i="17"/>
  <c r="G75" i="17"/>
  <c r="F75" i="17"/>
  <c r="D75" i="17"/>
  <c r="C75" i="17"/>
  <c r="H76" i="17"/>
  <c r="G76" i="17"/>
  <c r="D76" i="17"/>
  <c r="C76" i="17"/>
  <c r="M76" i="17"/>
  <c r="I76" i="17"/>
  <c r="L76" i="17"/>
  <c r="K76" i="17"/>
  <c r="J76" i="17"/>
  <c r="M94" i="17"/>
  <c r="L94" i="17"/>
  <c r="E76" i="17"/>
  <c r="C60" i="17"/>
  <c r="F68" i="17"/>
  <c r="D61" i="17"/>
  <c r="E61" i="17"/>
  <c r="F76" i="17"/>
  <c r="M59" i="17"/>
  <c r="M83" i="17" s="1"/>
  <c r="L59" i="17"/>
  <c r="I59" i="17"/>
  <c r="J74" i="17"/>
  <c r="I74" i="17"/>
  <c r="F74" i="17"/>
  <c r="D80" i="17"/>
  <c r="C80" i="17"/>
  <c r="L80" i="17"/>
  <c r="K80" i="17"/>
  <c r="E80" i="17"/>
  <c r="E65" i="17"/>
  <c r="K73" i="17"/>
  <c r="J73" i="17"/>
  <c r="G73" i="17"/>
  <c r="F80" i="17"/>
  <c r="E93" i="17"/>
  <c r="E55" i="17"/>
  <c r="E85" i="17" s="1"/>
  <c r="E86" i="17" s="1"/>
  <c r="D55" i="17"/>
  <c r="M55" i="17"/>
  <c r="F56" i="17"/>
  <c r="F59" i="17"/>
  <c r="I63" i="17"/>
  <c r="H63" i="17"/>
  <c r="E63" i="17"/>
  <c r="E64" i="17"/>
  <c r="I65" i="17"/>
  <c r="L72" i="17"/>
  <c r="K72" i="17"/>
  <c r="H72" i="17"/>
  <c r="D73" i="17"/>
  <c r="G74" i="17"/>
  <c r="C79" i="17"/>
  <c r="H80" i="17"/>
  <c r="I92" i="17"/>
  <c r="H92" i="17"/>
  <c r="E92" i="17"/>
  <c r="D92" i="17"/>
  <c r="I93" i="17"/>
  <c r="C55" i="17"/>
  <c r="G59" i="17"/>
  <c r="C63" i="17"/>
  <c r="C72" i="17"/>
  <c r="E73" i="17"/>
  <c r="H74" i="17"/>
  <c r="I80" i="17"/>
  <c r="C92" i="17"/>
  <c r="D97" i="17"/>
  <c r="C97" i="17"/>
  <c r="K97" i="17"/>
  <c r="G65" i="17"/>
  <c r="F65" i="17"/>
  <c r="C65" i="17"/>
  <c r="C59" i="17"/>
  <c r="D65" i="17"/>
  <c r="C74" i="17"/>
  <c r="H93" i="17"/>
  <c r="G93" i="17"/>
  <c r="D93" i="17"/>
  <c r="C93" i="17"/>
  <c r="M85" i="17"/>
  <c r="M86" i="17" s="1"/>
  <c r="D56" i="17"/>
  <c r="C56" i="17"/>
  <c r="L56" i="17"/>
  <c r="D59" i="17"/>
  <c r="H64" i="17"/>
  <c r="G64" i="17"/>
  <c r="D64" i="17"/>
  <c r="D74" i="17"/>
  <c r="E56" i="17"/>
  <c r="E59" i="17"/>
  <c r="C64" i="17"/>
  <c r="H65" i="17"/>
  <c r="C73" i="17"/>
  <c r="E74" i="17"/>
  <c r="E79" i="17"/>
  <c r="D79" i="17"/>
  <c r="M79" i="17"/>
  <c r="L79" i="17"/>
  <c r="G80" i="17"/>
  <c r="F93" i="17"/>
  <c r="B83" i="17"/>
  <c r="B85" i="17" s="1"/>
  <c r="G53" i="17"/>
  <c r="F53" i="17"/>
  <c r="C53" i="17"/>
  <c r="H56" i="17"/>
  <c r="H85" i="17" s="1"/>
  <c r="H86" i="17" s="1"/>
  <c r="H59" i="17"/>
  <c r="J62" i="17"/>
  <c r="I62" i="17"/>
  <c r="F62" i="17"/>
  <c r="I64" i="17"/>
  <c r="K65" i="17"/>
  <c r="M71" i="17"/>
  <c r="L71" i="17"/>
  <c r="I71" i="17"/>
  <c r="F73" i="17"/>
  <c r="K74" i="17"/>
  <c r="G79" i="17"/>
  <c r="J80" i="17"/>
  <c r="K93" i="17"/>
  <c r="D53" i="17"/>
  <c r="G55" i="17"/>
  <c r="I56" i="17"/>
  <c r="I85" i="17" s="1"/>
  <c r="I86" i="17" s="1"/>
  <c r="J59" i="17"/>
  <c r="J85" i="17" s="1"/>
  <c r="J86" i="17" s="1"/>
  <c r="C62" i="17"/>
  <c r="F63" i="17"/>
  <c r="J64" i="17"/>
  <c r="L65" i="17"/>
  <c r="C71" i="17"/>
  <c r="E72" i="17"/>
  <c r="H73" i="17"/>
  <c r="L74" i="17"/>
  <c r="H79" i="17"/>
  <c r="M80" i="17"/>
  <c r="J91" i="17"/>
  <c r="I91" i="17"/>
  <c r="F91" i="17"/>
  <c r="E91" i="17"/>
  <c r="G92" i="17"/>
  <c r="E96" i="17"/>
  <c r="D96" i="17"/>
  <c r="F97" i="17"/>
  <c r="K57" i="17"/>
  <c r="K85" i="17" s="1"/>
  <c r="K86" i="17" s="1"/>
  <c r="K69" i="17"/>
  <c r="C77" i="17"/>
  <c r="K81" i="17"/>
  <c r="C94" i="17"/>
  <c r="L97" i="17"/>
  <c r="K98" i="17"/>
  <c r="F77" i="17"/>
  <c r="F94" i="17"/>
  <c r="AA19" i="16"/>
  <c r="AG12" i="16"/>
  <c r="E111" i="16" s="1"/>
  <c r="AB7" i="16"/>
  <c r="D113" i="18" l="1"/>
  <c r="B86" i="18"/>
  <c r="F87" i="18" s="1"/>
  <c r="H113" i="18"/>
  <c r="Z24" i="18"/>
  <c r="F85" i="17"/>
  <c r="F86" i="17" s="1"/>
  <c r="F83" i="17"/>
  <c r="G83" i="17"/>
  <c r="G85" i="17"/>
  <c r="G86" i="17" s="1"/>
  <c r="C100" i="17"/>
  <c r="C102" i="17" s="1"/>
  <c r="C103" i="17" s="1"/>
  <c r="G102" i="17"/>
  <c r="G103" i="17" s="1"/>
  <c r="G100" i="17"/>
  <c r="J102" i="17"/>
  <c r="J103" i="17" s="1"/>
  <c r="J100" i="17"/>
  <c r="K102" i="17"/>
  <c r="K103" i="17" s="1"/>
  <c r="K100" i="17"/>
  <c r="L100" i="17"/>
  <c r="L102" i="17"/>
  <c r="L103" i="17" s="1"/>
  <c r="M102" i="17"/>
  <c r="M103" i="17" s="1"/>
  <c r="M100" i="17"/>
  <c r="I102" i="17"/>
  <c r="I103" i="17" s="1"/>
  <c r="I100" i="17"/>
  <c r="D85" i="17"/>
  <c r="D86" i="17" s="1"/>
  <c r="D83" i="17"/>
  <c r="I113" i="17"/>
  <c r="AG25" i="17"/>
  <c r="Z25" i="17" s="1"/>
  <c r="AG21" i="17"/>
  <c r="AG18" i="17" s="1"/>
  <c r="G113" i="17" s="1"/>
  <c r="AG15" i="17"/>
  <c r="AG24" i="17"/>
  <c r="AG16" i="17"/>
  <c r="E113" i="17" s="1"/>
  <c r="AG23" i="17"/>
  <c r="AG26" i="17"/>
  <c r="J113" i="17" s="1"/>
  <c r="AG22" i="17"/>
  <c r="AG19" i="17"/>
  <c r="K113" i="17" s="1"/>
  <c r="L85" i="17"/>
  <c r="L86" i="17" s="1"/>
  <c r="J83" i="17"/>
  <c r="L83" i="17"/>
  <c r="D102" i="17"/>
  <c r="D103" i="17" s="1"/>
  <c r="D100" i="17"/>
  <c r="E83" i="17"/>
  <c r="I83" i="17"/>
  <c r="E102" i="17"/>
  <c r="E103" i="17" s="1"/>
  <c r="E100" i="17"/>
  <c r="C83" i="17"/>
  <c r="C85" i="17" s="1"/>
  <c r="C86" i="17" s="1"/>
  <c r="B86" i="17" s="1"/>
  <c r="K83" i="17"/>
  <c r="H102" i="17"/>
  <c r="H103" i="17" s="1"/>
  <c r="H100" i="17"/>
  <c r="C106" i="16"/>
  <c r="B87" i="18" l="1"/>
  <c r="F90" i="18"/>
  <c r="H113" i="17"/>
  <c r="Z24" i="17"/>
  <c r="D113" i="17"/>
  <c r="F87" i="17"/>
  <c r="AA38" i="16"/>
  <c r="AA37" i="16"/>
  <c r="AA36" i="16"/>
  <c r="F100" i="18" l="1"/>
  <c r="F102" i="18"/>
  <c r="F103" i="18" s="1"/>
  <c r="B87" i="17"/>
  <c r="F90" i="17"/>
  <c r="A92" i="16"/>
  <c r="B92" i="16"/>
  <c r="M92" i="16" s="1"/>
  <c r="A93" i="16"/>
  <c r="B93" i="16"/>
  <c r="A94" i="16"/>
  <c r="B94" i="16"/>
  <c r="A95" i="16"/>
  <c r="B95" i="16"/>
  <c r="A96" i="16"/>
  <c r="B96" i="16"/>
  <c r="A97" i="16"/>
  <c r="B97" i="16"/>
  <c r="A98" i="16"/>
  <c r="B98" i="16"/>
  <c r="A99" i="16"/>
  <c r="B99" i="16"/>
  <c r="B91" i="16"/>
  <c r="M91" i="16" s="1"/>
  <c r="A91" i="16"/>
  <c r="B82" i="16"/>
  <c r="A54" i="16"/>
  <c r="B54" i="16"/>
  <c r="A55" i="16"/>
  <c r="B55" i="16"/>
  <c r="A56" i="16"/>
  <c r="B56" i="16"/>
  <c r="A57" i="16"/>
  <c r="B57" i="16"/>
  <c r="A58" i="16"/>
  <c r="B58" i="16"/>
  <c r="A59" i="16"/>
  <c r="B59" i="16"/>
  <c r="A60" i="16"/>
  <c r="B60" i="16"/>
  <c r="A61" i="16"/>
  <c r="B61" i="16"/>
  <c r="A62" i="16"/>
  <c r="B62" i="16"/>
  <c r="A63" i="16"/>
  <c r="B63" i="16"/>
  <c r="A64" i="16"/>
  <c r="B64" i="16"/>
  <c r="A65" i="16"/>
  <c r="B65" i="16"/>
  <c r="A66" i="16"/>
  <c r="B66" i="16"/>
  <c r="A67" i="16"/>
  <c r="B67" i="16"/>
  <c r="A68" i="16"/>
  <c r="B68" i="16"/>
  <c r="A69" i="16"/>
  <c r="B69" i="16"/>
  <c r="A70" i="16"/>
  <c r="B70" i="16"/>
  <c r="A71" i="16"/>
  <c r="B71" i="16"/>
  <c r="A72" i="16"/>
  <c r="B72" i="16"/>
  <c r="A73" i="16"/>
  <c r="B73" i="16"/>
  <c r="A74" i="16"/>
  <c r="B74" i="16"/>
  <c r="A75" i="16"/>
  <c r="B75" i="16"/>
  <c r="A76" i="16"/>
  <c r="B76" i="16"/>
  <c r="A77" i="16"/>
  <c r="B77" i="16"/>
  <c r="A78" i="16"/>
  <c r="B78" i="16"/>
  <c r="A79" i="16"/>
  <c r="B79" i="16"/>
  <c r="A80" i="16"/>
  <c r="B80" i="16"/>
  <c r="A81" i="16"/>
  <c r="B81" i="16"/>
  <c r="A82" i="16"/>
  <c r="B53" i="16"/>
  <c r="A53" i="16"/>
  <c r="B103" i="18" l="1"/>
  <c r="F102" i="17"/>
  <c r="F103" i="17" s="1"/>
  <c r="F100" i="17"/>
  <c r="AA14" i="16"/>
  <c r="B104" i="18" l="1"/>
  <c r="C108" i="18"/>
  <c r="AE14" i="18" s="1"/>
  <c r="AE17" i="18"/>
  <c r="AG17" i="18" s="1"/>
  <c r="B103" i="17"/>
  <c r="F104" i="17" s="1"/>
  <c r="AI5" i="16"/>
  <c r="F113" i="18" l="1"/>
  <c r="AG14" i="18"/>
  <c r="C113" i="18" s="1"/>
  <c r="B104" i="17"/>
  <c r="C108" i="17"/>
  <c r="AE14" i="17" s="1"/>
  <c r="F106" i="17"/>
  <c r="AE17" i="17" s="1"/>
  <c r="AG17" i="17" s="1"/>
  <c r="AE15" i="16"/>
  <c r="AE16" i="16"/>
  <c r="AE19" i="16"/>
  <c r="AE21" i="16"/>
  <c r="AE22" i="16"/>
  <c r="N24" i="16"/>
  <c r="AE23" i="16"/>
  <c r="N25" i="16"/>
  <c r="AE24" i="16"/>
  <c r="N26" i="16"/>
  <c r="AE25" i="16"/>
  <c r="N27" i="16"/>
  <c r="AE26" i="16"/>
  <c r="N28" i="16"/>
  <c r="N29" i="16"/>
  <c r="N30" i="16"/>
  <c r="N31" i="16"/>
  <c r="N32" i="16"/>
  <c r="N33" i="16"/>
  <c r="N34" i="16"/>
  <c r="N35" i="16"/>
  <c r="AE35" i="16"/>
  <c r="N36" i="16"/>
  <c r="N37" i="16"/>
  <c r="M39" i="16"/>
  <c r="N40" i="16"/>
  <c r="N41" i="16"/>
  <c r="N42" i="16"/>
  <c r="N43" i="16"/>
  <c r="N44" i="16"/>
  <c r="N45" i="16"/>
  <c r="N46" i="16"/>
  <c r="N47" i="16"/>
  <c r="N48" i="16"/>
  <c r="N49" i="16"/>
  <c r="M52" i="16"/>
  <c r="C53" i="16"/>
  <c r="D53" i="16"/>
  <c r="E53" i="16"/>
  <c r="F53" i="16"/>
  <c r="G53" i="16"/>
  <c r="H53" i="16"/>
  <c r="I53" i="16"/>
  <c r="J53" i="16"/>
  <c r="K53" i="16"/>
  <c r="L53" i="16"/>
  <c r="M53" i="16"/>
  <c r="C54" i="16"/>
  <c r="D54" i="16"/>
  <c r="E54" i="16"/>
  <c r="F54" i="16"/>
  <c r="G54" i="16"/>
  <c r="H54" i="16"/>
  <c r="I54" i="16"/>
  <c r="J54" i="16"/>
  <c r="K54" i="16"/>
  <c r="L54" i="16"/>
  <c r="M54" i="16"/>
  <c r="C55" i="16"/>
  <c r="D55" i="16"/>
  <c r="E55" i="16"/>
  <c r="F55" i="16"/>
  <c r="G55" i="16"/>
  <c r="H55" i="16"/>
  <c r="I55" i="16"/>
  <c r="J55" i="16"/>
  <c r="K55" i="16"/>
  <c r="L55" i="16"/>
  <c r="M55" i="16"/>
  <c r="C56" i="16"/>
  <c r="D56" i="16"/>
  <c r="E56" i="16"/>
  <c r="F56" i="16"/>
  <c r="G56" i="16"/>
  <c r="H56" i="16"/>
  <c r="I56" i="16"/>
  <c r="J56" i="16"/>
  <c r="K56" i="16"/>
  <c r="L56" i="16"/>
  <c r="M56" i="16"/>
  <c r="C57" i="16"/>
  <c r="D57" i="16"/>
  <c r="E57" i="16"/>
  <c r="F57" i="16"/>
  <c r="G57" i="16"/>
  <c r="H57" i="16"/>
  <c r="I57" i="16"/>
  <c r="J57" i="16"/>
  <c r="K57" i="16"/>
  <c r="L57" i="16"/>
  <c r="M57" i="16"/>
  <c r="C58" i="16"/>
  <c r="D58" i="16"/>
  <c r="E58" i="16"/>
  <c r="F58" i="16"/>
  <c r="G58" i="16"/>
  <c r="H58" i="16"/>
  <c r="I58" i="16"/>
  <c r="J58" i="16"/>
  <c r="K58" i="16"/>
  <c r="L58" i="16"/>
  <c r="M58" i="16"/>
  <c r="C59" i="16"/>
  <c r="D59" i="16"/>
  <c r="E59" i="16"/>
  <c r="F59" i="16"/>
  <c r="G59" i="16"/>
  <c r="H59" i="16"/>
  <c r="I59" i="16"/>
  <c r="J59" i="16"/>
  <c r="K59" i="16"/>
  <c r="L59" i="16"/>
  <c r="M59" i="16"/>
  <c r="C60" i="16"/>
  <c r="D60" i="16"/>
  <c r="E60" i="16"/>
  <c r="F60" i="16"/>
  <c r="G60" i="16"/>
  <c r="H60" i="16"/>
  <c r="I60" i="16"/>
  <c r="J60" i="16"/>
  <c r="K60" i="16"/>
  <c r="L60" i="16"/>
  <c r="M60" i="16"/>
  <c r="C61" i="16"/>
  <c r="D61" i="16"/>
  <c r="E61" i="16"/>
  <c r="F61" i="16"/>
  <c r="G61" i="16"/>
  <c r="H61" i="16"/>
  <c r="I61" i="16"/>
  <c r="J61" i="16"/>
  <c r="K61" i="16"/>
  <c r="L61" i="16"/>
  <c r="M61" i="16"/>
  <c r="C62" i="16"/>
  <c r="D62" i="16"/>
  <c r="E62" i="16"/>
  <c r="F62" i="16"/>
  <c r="G62" i="16"/>
  <c r="H62" i="16"/>
  <c r="I62" i="16"/>
  <c r="J62" i="16"/>
  <c r="K62" i="16"/>
  <c r="L62" i="16"/>
  <c r="M62" i="16"/>
  <c r="C63" i="16"/>
  <c r="D63" i="16"/>
  <c r="E63" i="16"/>
  <c r="F63" i="16"/>
  <c r="G63" i="16"/>
  <c r="H63" i="16"/>
  <c r="I63" i="16"/>
  <c r="J63" i="16"/>
  <c r="K63" i="16"/>
  <c r="L63" i="16"/>
  <c r="M63" i="16"/>
  <c r="C64" i="16"/>
  <c r="D64" i="16"/>
  <c r="E64" i="16"/>
  <c r="F64" i="16"/>
  <c r="G64" i="16"/>
  <c r="H64" i="16"/>
  <c r="I64" i="16"/>
  <c r="J64" i="16"/>
  <c r="K64" i="16"/>
  <c r="L64" i="16"/>
  <c r="M64" i="16"/>
  <c r="C65" i="16"/>
  <c r="D65" i="16"/>
  <c r="E65" i="16"/>
  <c r="F65" i="16"/>
  <c r="G65" i="16"/>
  <c r="H65" i="16"/>
  <c r="I65" i="16"/>
  <c r="J65" i="16"/>
  <c r="K65" i="16"/>
  <c r="L65" i="16"/>
  <c r="M65" i="16"/>
  <c r="C66" i="16"/>
  <c r="D66" i="16"/>
  <c r="E66" i="16"/>
  <c r="F66" i="16"/>
  <c r="G66" i="16"/>
  <c r="H66" i="16"/>
  <c r="I66" i="16"/>
  <c r="J66" i="16"/>
  <c r="K66" i="16"/>
  <c r="L66" i="16"/>
  <c r="M66" i="16"/>
  <c r="C67" i="16"/>
  <c r="D67" i="16"/>
  <c r="E67" i="16"/>
  <c r="F67" i="16"/>
  <c r="G67" i="16"/>
  <c r="H67" i="16"/>
  <c r="I67" i="16"/>
  <c r="J67" i="16"/>
  <c r="K67" i="16"/>
  <c r="L67" i="16"/>
  <c r="M67" i="16"/>
  <c r="C68" i="16"/>
  <c r="D68" i="16"/>
  <c r="E68" i="16"/>
  <c r="F68" i="16"/>
  <c r="G68" i="16"/>
  <c r="H68" i="16"/>
  <c r="I68" i="16"/>
  <c r="J68" i="16"/>
  <c r="K68" i="16"/>
  <c r="L68" i="16"/>
  <c r="M68" i="16"/>
  <c r="C69" i="16"/>
  <c r="D69" i="16"/>
  <c r="E69" i="16"/>
  <c r="F69" i="16"/>
  <c r="G69" i="16"/>
  <c r="H69" i="16"/>
  <c r="I69" i="16"/>
  <c r="J69" i="16"/>
  <c r="K69" i="16"/>
  <c r="L69" i="16"/>
  <c r="M69" i="16"/>
  <c r="C70" i="16"/>
  <c r="D70" i="16"/>
  <c r="E70" i="16"/>
  <c r="F70" i="16"/>
  <c r="G70" i="16"/>
  <c r="H70" i="16"/>
  <c r="I70" i="16"/>
  <c r="J70" i="16"/>
  <c r="K70" i="16"/>
  <c r="L70" i="16"/>
  <c r="M70" i="16"/>
  <c r="C71" i="16"/>
  <c r="D71" i="16"/>
  <c r="E71" i="16"/>
  <c r="F71" i="16"/>
  <c r="G71" i="16"/>
  <c r="H71" i="16"/>
  <c r="I71" i="16"/>
  <c r="J71" i="16"/>
  <c r="K71" i="16"/>
  <c r="L71" i="16"/>
  <c r="M71" i="16"/>
  <c r="C72" i="16"/>
  <c r="D72" i="16"/>
  <c r="E72" i="16"/>
  <c r="F72" i="16"/>
  <c r="G72" i="16"/>
  <c r="H72" i="16"/>
  <c r="I72" i="16"/>
  <c r="J72" i="16"/>
  <c r="K72" i="16"/>
  <c r="L72" i="16"/>
  <c r="M72" i="16"/>
  <c r="C73" i="16"/>
  <c r="D73" i="16"/>
  <c r="E73" i="16"/>
  <c r="F73" i="16"/>
  <c r="G73" i="16"/>
  <c r="H73" i="16"/>
  <c r="I73" i="16"/>
  <c r="J73" i="16"/>
  <c r="K73" i="16"/>
  <c r="L73" i="16"/>
  <c r="M73" i="16"/>
  <c r="C74" i="16"/>
  <c r="D74" i="16"/>
  <c r="E74" i="16"/>
  <c r="F74" i="16"/>
  <c r="G74" i="16"/>
  <c r="H74" i="16"/>
  <c r="I74" i="16"/>
  <c r="J74" i="16"/>
  <c r="K74" i="16"/>
  <c r="L74" i="16"/>
  <c r="M74" i="16"/>
  <c r="C75" i="16"/>
  <c r="D75" i="16"/>
  <c r="E75" i="16"/>
  <c r="F75" i="16"/>
  <c r="G75" i="16"/>
  <c r="H75" i="16"/>
  <c r="I75" i="16"/>
  <c r="J75" i="16"/>
  <c r="K75" i="16"/>
  <c r="L75" i="16"/>
  <c r="M75" i="16"/>
  <c r="C76" i="16"/>
  <c r="D76" i="16"/>
  <c r="E76" i="16"/>
  <c r="F76" i="16"/>
  <c r="G76" i="16"/>
  <c r="H76" i="16"/>
  <c r="I76" i="16"/>
  <c r="J76" i="16"/>
  <c r="K76" i="16"/>
  <c r="L76" i="16"/>
  <c r="M76" i="16"/>
  <c r="C77" i="16"/>
  <c r="D77" i="16"/>
  <c r="E77" i="16"/>
  <c r="F77" i="16"/>
  <c r="G77" i="16"/>
  <c r="H77" i="16"/>
  <c r="I77" i="16"/>
  <c r="J77" i="16"/>
  <c r="K77" i="16"/>
  <c r="L77" i="16"/>
  <c r="M77" i="16"/>
  <c r="C78" i="16"/>
  <c r="D78" i="16"/>
  <c r="E78" i="16"/>
  <c r="F78" i="16"/>
  <c r="G78" i="16"/>
  <c r="H78" i="16"/>
  <c r="I78" i="16"/>
  <c r="J78" i="16"/>
  <c r="K78" i="16"/>
  <c r="L78" i="16"/>
  <c r="M78" i="16"/>
  <c r="C79" i="16"/>
  <c r="D79" i="16"/>
  <c r="E79" i="16"/>
  <c r="F79" i="16"/>
  <c r="G79" i="16"/>
  <c r="H79" i="16"/>
  <c r="I79" i="16"/>
  <c r="J79" i="16"/>
  <c r="K79" i="16"/>
  <c r="L79" i="16"/>
  <c r="M79" i="16"/>
  <c r="C80" i="16"/>
  <c r="D80" i="16"/>
  <c r="E80" i="16"/>
  <c r="F80" i="16"/>
  <c r="G80" i="16"/>
  <c r="H80" i="16"/>
  <c r="I80" i="16"/>
  <c r="J80" i="16"/>
  <c r="K80" i="16"/>
  <c r="L80" i="16"/>
  <c r="M80" i="16"/>
  <c r="C81" i="16"/>
  <c r="D81" i="16"/>
  <c r="E81" i="16"/>
  <c r="F81" i="16"/>
  <c r="G81" i="16"/>
  <c r="H81" i="16"/>
  <c r="I81" i="16"/>
  <c r="J81" i="16"/>
  <c r="K81" i="16"/>
  <c r="L81" i="16"/>
  <c r="M81" i="16"/>
  <c r="C82" i="16"/>
  <c r="D82" i="16"/>
  <c r="E82" i="16"/>
  <c r="F82" i="16"/>
  <c r="G82" i="16"/>
  <c r="H82" i="16"/>
  <c r="I82" i="16"/>
  <c r="J82" i="16"/>
  <c r="K82" i="16"/>
  <c r="L82" i="16"/>
  <c r="M82" i="16"/>
  <c r="B83" i="16"/>
  <c r="B85" i="16" s="1"/>
  <c r="M89" i="16"/>
  <c r="B90" i="16"/>
  <c r="E90" i="16" s="1"/>
  <c r="C91" i="16"/>
  <c r="D91" i="16"/>
  <c r="E91" i="16"/>
  <c r="F91" i="16"/>
  <c r="G91" i="16"/>
  <c r="H91" i="16"/>
  <c r="I91" i="16"/>
  <c r="J91" i="16"/>
  <c r="K91" i="16"/>
  <c r="L91" i="16"/>
  <c r="C92" i="16"/>
  <c r="D92" i="16"/>
  <c r="E92" i="16"/>
  <c r="F92" i="16"/>
  <c r="G92" i="16"/>
  <c r="H92" i="16"/>
  <c r="I92" i="16"/>
  <c r="J92" i="16"/>
  <c r="K92" i="16"/>
  <c r="L92" i="16"/>
  <c r="C93" i="16"/>
  <c r="D93" i="16"/>
  <c r="E93" i="16"/>
  <c r="F93" i="16"/>
  <c r="G93" i="16"/>
  <c r="H93" i="16"/>
  <c r="I93" i="16"/>
  <c r="J93" i="16"/>
  <c r="K93" i="16"/>
  <c r="L93" i="16"/>
  <c r="M93" i="16"/>
  <c r="C94" i="16"/>
  <c r="D94" i="16"/>
  <c r="E94" i="16"/>
  <c r="F94" i="16"/>
  <c r="G94" i="16"/>
  <c r="H94" i="16"/>
  <c r="I94" i="16"/>
  <c r="J94" i="16"/>
  <c r="K94" i="16"/>
  <c r="L94" i="16"/>
  <c r="M94" i="16"/>
  <c r="C95" i="16"/>
  <c r="D95" i="16"/>
  <c r="E95" i="16"/>
  <c r="F95" i="16"/>
  <c r="G95" i="16"/>
  <c r="H95" i="16"/>
  <c r="I95" i="16"/>
  <c r="J95" i="16"/>
  <c r="K95" i="16"/>
  <c r="L95" i="16"/>
  <c r="M95" i="16"/>
  <c r="C96" i="16"/>
  <c r="D96" i="16"/>
  <c r="E96" i="16"/>
  <c r="F96" i="16"/>
  <c r="G96" i="16"/>
  <c r="H96" i="16"/>
  <c r="I96" i="16"/>
  <c r="J96" i="16"/>
  <c r="K96" i="16"/>
  <c r="L96" i="16"/>
  <c r="M96" i="16"/>
  <c r="C97" i="16"/>
  <c r="D97" i="16"/>
  <c r="E97" i="16"/>
  <c r="F97" i="16"/>
  <c r="G97" i="16"/>
  <c r="H97" i="16"/>
  <c r="I97" i="16"/>
  <c r="J97" i="16"/>
  <c r="K97" i="16"/>
  <c r="L97" i="16"/>
  <c r="M97" i="16"/>
  <c r="C98" i="16"/>
  <c r="D98" i="16"/>
  <c r="E98" i="16"/>
  <c r="F98" i="16"/>
  <c r="G98" i="16"/>
  <c r="H98" i="16"/>
  <c r="I98" i="16"/>
  <c r="J98" i="16"/>
  <c r="K98" i="16"/>
  <c r="L98" i="16"/>
  <c r="M98" i="16"/>
  <c r="C99" i="16"/>
  <c r="D99" i="16"/>
  <c r="E99" i="16"/>
  <c r="F99" i="16"/>
  <c r="G99" i="16"/>
  <c r="H99" i="16"/>
  <c r="I99" i="16"/>
  <c r="J99" i="16"/>
  <c r="K99" i="16"/>
  <c r="L99" i="16"/>
  <c r="M99" i="16"/>
  <c r="F113" i="17" l="1"/>
  <c r="AG14" i="17"/>
  <c r="C113" i="17" s="1"/>
  <c r="I85" i="16"/>
  <c r="I86" i="16" s="1"/>
  <c r="AK18" i="16"/>
  <c r="AE18" i="16"/>
  <c r="E83" i="16"/>
  <c r="I83" i="16"/>
  <c r="J85" i="16"/>
  <c r="J86" i="16" s="1"/>
  <c r="F85" i="16"/>
  <c r="F86" i="16" s="1"/>
  <c r="M83" i="16"/>
  <c r="K83" i="16"/>
  <c r="C83" i="16"/>
  <c r="C85" i="16" s="1"/>
  <c r="C86" i="16" s="1"/>
  <c r="L90" i="16"/>
  <c r="L100" i="16" s="1"/>
  <c r="M85" i="16"/>
  <c r="M86" i="16" s="1"/>
  <c r="D90" i="16"/>
  <c r="D100" i="16" s="1"/>
  <c r="G83" i="16"/>
  <c r="J90" i="16"/>
  <c r="J102" i="16" s="1"/>
  <c r="K85" i="16"/>
  <c r="K86" i="16" s="1"/>
  <c r="H90" i="16"/>
  <c r="H100" i="16" s="1"/>
  <c r="G85" i="16"/>
  <c r="G86" i="16" s="1"/>
  <c r="L83" i="16"/>
  <c r="H83" i="16"/>
  <c r="D83" i="16"/>
  <c r="E85" i="16"/>
  <c r="E86" i="16" s="1"/>
  <c r="J83" i="16"/>
  <c r="F83" i="16"/>
  <c r="E102" i="16"/>
  <c r="E100" i="16"/>
  <c r="L85" i="16"/>
  <c r="L86" i="16" s="1"/>
  <c r="H85" i="16"/>
  <c r="H86" i="16" s="1"/>
  <c r="D85" i="16"/>
  <c r="D86" i="16" s="1"/>
  <c r="B100" i="16"/>
  <c r="B102" i="16" s="1"/>
  <c r="AG13" i="16" s="1"/>
  <c r="AG19" i="16" s="1"/>
  <c r="K90" i="16"/>
  <c r="G90" i="16"/>
  <c r="C90" i="16"/>
  <c r="C100" i="16" s="1"/>
  <c r="M90" i="16"/>
  <c r="I90" i="16"/>
  <c r="B86" i="16" l="1"/>
  <c r="F87" i="16" s="1"/>
  <c r="B87" i="16" s="1"/>
  <c r="C102" i="16"/>
  <c r="C103" i="16" s="1"/>
  <c r="D102" i="16"/>
  <c r="D103" i="16" s="1"/>
  <c r="J103" i="16"/>
  <c r="J100" i="16"/>
  <c r="L102" i="16"/>
  <c r="L103" i="16" s="1"/>
  <c r="E103" i="16"/>
  <c r="H102" i="16"/>
  <c r="H103" i="16" s="1"/>
  <c r="I102" i="16"/>
  <c r="I103" i="16" s="1"/>
  <c r="I100" i="16"/>
  <c r="K102" i="16"/>
  <c r="K103" i="16" s="1"/>
  <c r="K100" i="16"/>
  <c r="G102" i="16"/>
  <c r="G103" i="16" s="1"/>
  <c r="G100" i="16"/>
  <c r="M102" i="16"/>
  <c r="M103" i="16" s="1"/>
  <c r="M100" i="16"/>
  <c r="AG15" i="16"/>
  <c r="AG22" i="16"/>
  <c r="AG26" i="16"/>
  <c r="J113" i="16" s="1"/>
  <c r="AG16" i="16"/>
  <c r="E113" i="16" s="1"/>
  <c r="AG24" i="16"/>
  <c r="Z24" i="16" s="1"/>
  <c r="K113" i="16"/>
  <c r="AG21" i="16"/>
  <c r="AG25" i="16"/>
  <c r="Z25" i="16" s="1"/>
  <c r="AG23" i="16"/>
  <c r="AG18" i="16" l="1"/>
  <c r="G113" i="16" s="1"/>
  <c r="I113" i="16"/>
  <c r="H113" i="16"/>
  <c r="F90" i="16"/>
  <c r="D113" i="16"/>
  <c r="F100" i="16" l="1"/>
  <c r="F102" i="16"/>
  <c r="F103" i="16" s="1"/>
  <c r="B103" i="16" l="1"/>
  <c r="F104" i="16" s="1"/>
  <c r="F106" i="16" l="1"/>
  <c r="AE17" i="16" s="1"/>
  <c r="AG17" i="16" s="1"/>
  <c r="B104" i="16"/>
  <c r="C108" i="16"/>
  <c r="AE14" i="16" s="1"/>
  <c r="F113" i="16" l="1"/>
  <c r="AG14" i="16"/>
  <c r="C113" i="16" s="1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2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3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<sst xmlns="http://schemas.openxmlformats.org/spreadsheetml/2006/main" count="505" uniqueCount="112">
  <si>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</si>
  <si>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</si>
  <si>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</si>
  <si>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</si>
  <si>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</si>
  <si>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</si>
  <si>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</si>
  <si>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</si>
  <si>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</si>
  <si>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</si>
  <si>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</si>
  <si>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</si>
  <si>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</si>
  <si>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</si>
  <si>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</si>
  <si>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</si>
  <si>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g</t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</si>
  <si>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</si>
  <si>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</si>
  <si>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</si>
  <si>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</si>
  <si>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</si>
  <si>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</si>
  <si>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</si>
  <si>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</si>
  <si>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</si>
  <si>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</si>
  <si>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</si>
  <si>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</si>
  <si>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</si>
  <si>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</si>
  <si>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</si>
  <si>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</si>
  <si>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</si>
  <si>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</si>
  <si>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</si>
  <si>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</si>
  <si>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</si>
  <si>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</si>
  <si>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</si>
  <si>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</si>
  <si>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</si>
  <si>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</si>
  <si>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</si>
  <si>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</si>
  <si>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</si>
  <si>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</si>
  <si>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</si>
  <si>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</si>
  <si>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</si>
  <si>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</si>
  <si>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</si>
  <si>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  <phoneticPr fontId="3"/>
  </si>
  <si>
    <t>「この表示値は、目安です。」の一文は不要。</t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</si>
  <si>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</si>
  <si>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</si>
  <si>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</si>
  <si>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</si>
  <si>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</si>
  <si>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</si>
  <si>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</si>
  <si>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</si>
  <si>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</si>
  <si>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その他</t>
    <rPh sb="2" eb="3">
      <t>タ</t>
    </rPh>
    <phoneticPr fontId="3"/>
  </si>
  <si>
    <t>「この表示値は、目安です。」の一文は不要。</t>
  </si>
  <si>
    <t>カルシウム</t>
    <phoneticPr fontId="3"/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</si>
  <si>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</si>
  <si>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</si>
  <si>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</si>
  <si>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</si>
  <si>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</si>
  <si>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計算表(強調表示）</t>
  </si>
  <si>
    <t>規格重量</t>
    <rPh sb="0" eb="2">
      <t>キカク</t>
    </rPh>
    <rPh sb="2" eb="4">
      <t>ジュウリョウ</t>
    </rPh>
    <phoneticPr fontId="1"/>
  </si>
  <si>
    <t>出力用</t>
  </si>
  <si>
    <t>分類</t>
    <rPh sb="0" eb="2">
      <t>ブンルイ</t>
    </rPh>
    <phoneticPr fontId="2"/>
  </si>
  <si>
    <t>※製品100g当たり、ｶﾙｼｳﾑ105mg以上の場合「ｶﾙｼｳﾑ入り」といえます。</t>
    <rPh sb="1" eb="3">
      <t>セイヒン</t>
    </rPh>
    <rPh sb="7" eb="8">
      <t>ア</t>
    </rPh>
    <rPh sb="21" eb="23">
      <t>イジョウ</t>
    </rPh>
    <rPh sb="24" eb="26">
      <t>バアイ</t>
    </rPh>
    <rPh sb="32" eb="33">
      <t>イ</t>
    </rPh>
    <phoneticPr fontId="3"/>
  </si>
  <si>
    <t>蒸し物</t>
    <phoneticPr fontId="3"/>
  </si>
  <si>
    <t>本社</t>
  </si>
  <si>
    <t>2026年3月12日</t>
    <phoneticPr fontId="5"/>
  </si>
  <si>
    <t>KH1 上白糖</t>
  </si>
  <si>
    <t>ﾇｰﾎﾞﾘｰﾑYK-29</t>
  </si>
  <si>
    <t>ｺｰﾝｼｭｶﾞｰA-30(ﾛｰﾘｰ)</t>
  </si>
  <si>
    <t>▲</t>
  </si>
  <si>
    <t>白雪(青)</t>
  </si>
  <si>
    <t>ﾌｼﾞ薄力粉</t>
  </si>
  <si>
    <t>ﾌｰﾄﾞｽﾀｰﾁTB</t>
  </si>
  <si>
    <t>ﾍﾞｰｷﾝｸﾞﾊﾟｳﾀﾞｰ蒸しﾊﾟﾝ用#1</t>
  </si>
  <si>
    <t>ﾌﾟﾗｽﾀｲﾑNE-300MC</t>
  </si>
  <si>
    <t>ｶﾙﾎｰﾌﾟ</t>
  </si>
  <si>
    <t>鳴門食塩</t>
  </si>
  <si>
    <t>明治北海道牛乳10L(5L×2袋)</t>
  </si>
  <si>
    <t>▲</t>
    <phoneticPr fontId="3"/>
  </si>
  <si>
    <t>ｼﾞｾﾙｶﾞﾄｰSC 16kg缶</t>
  </si>
  <si>
    <t>ﾒｲｵｰﾙ NEO67</t>
  </si>
  <si>
    <t>仕込水（※ラボ吸水）</t>
  </si>
  <si>
    <t>RN</t>
    <phoneticPr fontId="3"/>
  </si>
  <si>
    <t>和生菓子</t>
  </si>
  <si>
    <t>計算者：三瓶</t>
    <rPh sb="4" eb="6">
      <t>サンベ</t>
    </rPh>
    <phoneticPr fontId="3"/>
  </si>
  <si>
    <t>確認者：金田</t>
    <rPh sb="4" eb="6">
      <t>カネダ</t>
    </rPh>
    <phoneticPr fontId="3"/>
  </si>
  <si>
    <t>全卵/生</t>
  </si>
  <si>
    <t>1</t>
    <phoneticPr fontId="3"/>
  </si>
  <si>
    <t>包装</t>
    <rPh sb="0" eb="2">
      <t>ホウソウ</t>
    </rPh>
    <phoneticPr fontId="3"/>
  </si>
  <si>
    <t>8訂</t>
    <rPh sb="1" eb="2">
      <t>テイ</t>
    </rPh>
    <phoneticPr fontId="3"/>
  </si>
  <si>
    <t>ｶﾙｼｳﾑ入り　牛乳約200ml分のｶﾙｼｳﾑ入り(※1袋あたり)</t>
    <rPh sb="5" eb="6">
      <t>イ</t>
    </rPh>
    <phoneticPr fontId="3"/>
  </si>
  <si>
    <t>2608ｱﾝﾊﾟﾝﾏﾝのﾐﾆ蒸しﾊﾟﾝみるく味3個入</t>
    <rPh sb="14" eb="15">
      <t>ム</t>
    </rPh>
    <rPh sb="22" eb="23">
      <t>アジ</t>
    </rPh>
    <rPh sb="24" eb="25">
      <t>コ</t>
    </rPh>
    <rPh sb="25" eb="26">
      <t>イ</t>
    </rPh>
    <phoneticPr fontId="3"/>
  </si>
  <si>
    <t>牛乳約200ml＝ｶﾙｼｳﾑ：226.8mg</t>
  </si>
  <si>
    <t>※分析値</t>
    <rPh sb="1" eb="4">
      <t>ブンセキチ</t>
    </rPh>
    <phoneticPr fontId="3"/>
  </si>
  <si>
    <t>安全性研究部カルシウム分析結果反映いたしました。26/03/19三瓶</t>
    <rPh sb="0" eb="3">
      <t>アンゼンセイ</t>
    </rPh>
    <rPh sb="3" eb="6">
      <t>ケンキュウブ</t>
    </rPh>
    <rPh sb="11" eb="13">
      <t>ブンセキ</t>
    </rPh>
    <rPh sb="13" eb="15">
      <t>ケッカ</t>
    </rPh>
    <rPh sb="15" eb="17">
      <t>ハンエイ</t>
    </rPh>
    <rPh sb="32" eb="34">
      <t>サンベ</t>
    </rPh>
    <phoneticPr fontId="3"/>
  </si>
  <si>
    <t>牛乳約200ml＝ｶﾙｼｳﾑ：226.8mg　（牛乳1ml＝1.134mg)</t>
    <rPh sb="24" eb="26">
      <t>ギュウニュウ</t>
    </rPh>
    <phoneticPr fontId="3"/>
  </si>
  <si>
    <t>水分30%/100g以上のため、和生菓子</t>
    <phoneticPr fontId="3"/>
  </si>
  <si>
    <t>2026年4月13日</t>
    <phoneticPr fontId="5"/>
  </si>
  <si>
    <t>出力なし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</si>
</sst>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#,##0.00_ "/>
    <numFmt numFmtId="186" formatCode="#,##0_ ;[Red]\-#,##0\ "/>
    <numFmt numFmtId="187" formatCode="0.00;\-0.00;0;@"/>
    <numFmt numFmtId="188" formatCode="#,##0.0_ ;[Red]\-#,##0.0\ "/>
  </numFmts>
  <fonts count="43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2.5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rgb="FFFF0000"/>
      <name val="ＭＳ 明朝"/>
      <family val="1"/>
      <charset val="128"/>
    </font>
    <font>
      <sz val="14"/>
      <color rgb="FF000000"/>
      <name val="Calibri"/>
      <family val="2"/>
    </font>
    <font>
      <sz val="12"/>
      <name val="ＭＳ Ｐゴシック"/>
      <family val="3"/>
      <charset val="128"/>
    </font>
    <font>
      <sz val="13"/>
      <name val="ＭＳ 明朝"/>
      <family val="1"/>
      <charset val="128"/>
    </font>
    <font>
      <sz val="14"/>
      <color rgb="FF0000FF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b/>
      <sz val="14"/>
      <color indexed="10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14"/>
      <color indexed="81"/>
      <name val="ＭＳ Ｐゴシック"/>
      <family val="3"/>
      <charset val="128"/>
    </font>
    <font>
      <sz val="14"/>
      <color theme="3"/>
      <name val="ＭＳ 明朝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6FF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40" fillId="0" borderId="0">
      <alignment vertical="center"/>
    </xf>
  </cellStyleXfs>
  <cellXfs count="262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2" fontId="5" fillId="0" borderId="3" xfId="3" applyNumberFormat="1" applyFont="1" applyBorder="1" applyAlignment="1" applyProtection="1">
      <alignment horizontal="center"/>
    </xf>
    <xf numFmtId="183" fontId="5" fillId="0" borderId="4" xfId="3" applyNumberFormat="1" applyFont="1" applyBorder="1" applyAlignment="1" applyProtection="1">
      <alignment horizontal="center"/>
    </xf>
    <xf numFmtId="2" fontId="5" fillId="0" borderId="4" xfId="3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179" fontId="10" fillId="0" borderId="0" xfId="3" applyNumberFormat="1" applyFont="1" applyAlignment="1">
      <alignment horizontal="center"/>
    </xf>
    <xf numFmtId="2" fontId="11" fillId="0" borderId="5" xfId="3" applyFont="1" applyBorder="1" applyAlignment="1">
      <alignment horizont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1" fillId="0" borderId="6" xfId="3" applyFont="1" applyBorder="1" applyAlignment="1"/>
    <xf numFmtId="2" fontId="11" fillId="0" borderId="6" xfId="3" applyFont="1" applyBorder="1" applyAlignment="1">
      <alignment horizontal="center"/>
    </xf>
    <xf numFmtId="179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78" fontId="11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1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1" fillId="0" borderId="6" xfId="3" applyNumberFormat="1" applyFont="1" applyBorder="1" applyAlignment="1">
      <alignment horizontal="center"/>
    </xf>
    <xf numFmtId="2" fontId="6" fillId="0" borderId="7" xfId="3" applyNumberFormat="1" applyFont="1" applyBorder="1" applyProtection="1">
      <protection locked="0"/>
    </xf>
    <xf numFmtId="184" fontId="6" fillId="0" borderId="8" xfId="1" applyNumberFormat="1" applyFont="1" applyBorder="1" applyProtection="1">
      <protection locked="0"/>
    </xf>
    <xf numFmtId="2" fontId="12" fillId="0" borderId="6" xfId="3" applyFont="1" applyBorder="1"/>
    <xf numFmtId="2" fontId="12" fillId="0" borderId="6" xfId="3" applyFont="1" applyBorder="1" applyAlignment="1">
      <alignment horizontal="center"/>
    </xf>
    <xf numFmtId="178" fontId="12" fillId="0" borderId="6" xfId="3" applyNumberFormat="1" applyFont="1" applyBorder="1" applyAlignment="1">
      <alignment horizontal="center"/>
    </xf>
    <xf numFmtId="2" fontId="12" fillId="0" borderId="6" xfId="3" applyFont="1" applyBorder="1" applyAlignment="1">
      <alignment horizontal="right"/>
    </xf>
    <xf numFmtId="181" fontId="12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78" fontId="11" fillId="0" borderId="6" xfId="3" applyNumberFormat="1" applyFont="1" applyBorder="1" applyAlignment="1">
      <alignment horizontal="right"/>
    </xf>
    <xf numFmtId="0" fontId="13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6" fillId="0" borderId="9" xfId="3" applyNumberFormat="1" applyFont="1" applyBorder="1" applyProtection="1">
      <protection locked="0"/>
    </xf>
    <xf numFmtId="184" fontId="6" fillId="0" borderId="10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1" xfId="3" applyNumberFormat="1" applyFont="1" applyBorder="1" applyProtection="1"/>
    <xf numFmtId="2" fontId="5" fillId="0" borderId="12" xfId="3" applyNumberFormat="1" applyFont="1" applyBorder="1" applyAlignment="1" applyProtection="1">
      <alignment horizontal="center"/>
    </xf>
    <xf numFmtId="176" fontId="5" fillId="0" borderId="13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5" xfId="3" applyNumberFormat="1" applyFont="1" applyBorder="1" applyAlignment="1" applyProtection="1">
      <alignment horizontal="right"/>
    </xf>
    <xf numFmtId="176" fontId="6" fillId="0" borderId="16" xfId="3" applyNumberFormat="1" applyFont="1" applyBorder="1" applyProtection="1">
      <protection locked="0"/>
    </xf>
    <xf numFmtId="176" fontId="5" fillId="0" borderId="15" xfId="3" applyNumberFormat="1" applyFont="1" applyBorder="1" applyProtection="1"/>
    <xf numFmtId="2" fontId="14" fillId="0" borderId="0" xfId="3" applyNumberFormat="1" applyFont="1" applyProtection="1">
      <protection locked="0"/>
    </xf>
    <xf numFmtId="2" fontId="15" fillId="0" borderId="0" xfId="3" applyFont="1"/>
    <xf numFmtId="2" fontId="5" fillId="0" borderId="17" xfId="3" applyNumberFormat="1" applyFont="1" applyBorder="1" applyAlignment="1" applyProtection="1">
      <alignment horizontal="left"/>
    </xf>
    <xf numFmtId="2" fontId="6" fillId="0" borderId="17" xfId="3" applyNumberFormat="1" applyFont="1" applyBorder="1" applyProtection="1">
      <protection locked="0"/>
    </xf>
    <xf numFmtId="1" fontId="5" fillId="0" borderId="17" xfId="3" applyNumberFormat="1" applyFont="1" applyBorder="1" applyProtection="1"/>
    <xf numFmtId="176" fontId="16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179" fontId="11" fillId="0" borderId="6" xfId="1" applyNumberFormat="1" applyFont="1" applyBorder="1" applyAlignment="1">
      <alignment horizontal="center"/>
    </xf>
    <xf numFmtId="2" fontId="17" fillId="0" borderId="0" xfId="3" applyNumberFormat="1" applyFont="1" applyAlignment="1" applyProtection="1">
      <alignment horizontal="left"/>
      <protection locked="0"/>
    </xf>
    <xf numFmtId="2" fontId="25" fillId="0" borderId="0" xfId="3" applyNumberFormat="1" applyFont="1" applyAlignment="1" applyProtection="1">
      <alignment horizontal="left"/>
      <protection locked="0"/>
    </xf>
    <xf numFmtId="0" fontId="26" fillId="0" borderId="0" xfId="0" applyFont="1"/>
    <xf numFmtId="2" fontId="22" fillId="0" borderId="0" xfId="3" applyFont="1"/>
    <xf numFmtId="2" fontId="5" fillId="0" borderId="18" xfId="3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0" fontId="4" fillId="3" borderId="23" xfId="3" applyNumberFormat="1" applyFont="1" applyFill="1" applyBorder="1" applyAlignment="1">
      <alignment horizontal="center" vertical="center"/>
    </xf>
    <xf numFmtId="0" fontId="27" fillId="0" borderId="4" xfId="0" applyFont="1" applyBorder="1" applyProtection="1">
      <protection locked="0"/>
    </xf>
    <xf numFmtId="185" fontId="27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28" fillId="0" borderId="0" xfId="3" applyNumberFormat="1" applyFont="1" applyProtection="1">
      <protection locked="0"/>
    </xf>
    <xf numFmtId="2" fontId="29" fillId="0" borderId="20" xfId="3" applyFont="1" applyBorder="1"/>
    <xf numFmtId="179" fontId="30" fillId="0" borderId="21" xfId="3" applyNumberFormat="1" applyFont="1" applyBorder="1"/>
    <xf numFmtId="178" fontId="30" fillId="0" borderId="20" xfId="3" applyNumberFormat="1" applyFont="1" applyBorder="1"/>
    <xf numFmtId="178" fontId="30" fillId="0" borderId="10" xfId="3" applyNumberFormat="1" applyFont="1" applyBorder="1"/>
    <xf numFmtId="180" fontId="30" fillId="0" borderId="20" xfId="3" applyNumberFormat="1" applyFont="1" applyBorder="1"/>
    <xf numFmtId="180" fontId="30" fillId="0" borderId="10" xfId="3" applyNumberFormat="1" applyFont="1" applyBorder="1"/>
    <xf numFmtId="179" fontId="30" fillId="0" borderId="22" xfId="3" applyNumberFormat="1" applyFont="1" applyBorder="1"/>
    <xf numFmtId="176" fontId="30" fillId="0" borderId="2" xfId="3" applyNumberFormat="1" applyFont="1" applyBorder="1" applyAlignment="1" applyProtection="1">
      <alignment horizontal="right"/>
      <protection locked="0"/>
    </xf>
    <xf numFmtId="176" fontId="30" fillId="0" borderId="3" xfId="3" applyNumberFormat="1" applyFont="1" applyBorder="1" applyAlignment="1" applyProtection="1">
      <alignment horizontal="right"/>
      <protection locked="0"/>
    </xf>
    <xf numFmtId="176" fontId="30" fillId="0" borderId="1" xfId="3" applyNumberFormat="1" applyFont="1" applyBorder="1" applyAlignment="1" applyProtection="1">
      <alignment horizontal="right"/>
      <protection locked="0"/>
    </xf>
    <xf numFmtId="176" fontId="30" fillId="0" borderId="7" xfId="3" applyNumberFormat="1" applyFont="1" applyBorder="1" applyAlignment="1" applyProtection="1">
      <alignment horizontal="right"/>
      <protection locked="0"/>
    </xf>
    <xf numFmtId="2" fontId="31" fillId="0" borderId="0" xfId="3" applyFont="1"/>
    <xf numFmtId="2" fontId="5" fillId="4" borderId="0" xfId="3" applyNumberFormat="1" applyFont="1" applyFill="1" applyAlignment="1" applyProtection="1">
      <alignment horizontal="left"/>
    </xf>
    <xf numFmtId="0" fontId="24" fillId="0" borderId="0" xfId="0" applyFont="1"/>
    <xf numFmtId="2" fontId="22" fillId="0" borderId="0" xfId="3" applyNumberFormat="1" applyFont="1" applyAlignment="1" applyProtection="1">
      <alignment horizontal="left"/>
      <protection locked="0"/>
    </xf>
    <xf numFmtId="176" fontId="32" fillId="0" borderId="0" xfId="3" applyNumberFormat="1" applyFont="1" applyBorder="1" applyProtection="1"/>
    <xf numFmtId="181" fontId="5" fillId="0" borderId="14" xfId="3" applyNumberFormat="1" applyFont="1" applyBorder="1" applyProtection="1"/>
    <xf numFmtId="1" fontId="5" fillId="0" borderId="25" xfId="1" applyNumberFormat="1" applyFont="1" applyBorder="1" applyProtection="1"/>
    <xf numFmtId="1" fontId="5" fillId="0" borderId="26" xfId="1" applyNumberFormat="1" applyFont="1" applyBorder="1" applyProtection="1"/>
    <xf numFmtId="1" fontId="5" fillId="0" borderId="19" xfId="3" applyNumberFormat="1" applyFont="1" applyBorder="1" applyProtection="1"/>
    <xf numFmtId="40" fontId="5" fillId="0" borderId="27" xfId="1" applyNumberFormat="1" applyFont="1" applyBorder="1" applyProtection="1"/>
    <xf numFmtId="40" fontId="5" fillId="0" borderId="28" xfId="1" applyNumberFormat="1" applyFont="1" applyBorder="1" applyProtection="1"/>
    <xf numFmtId="184" fontId="5" fillId="0" borderId="27" xfId="1" applyNumberFormat="1" applyFont="1" applyBorder="1" applyProtection="1"/>
    <xf numFmtId="184" fontId="5" fillId="0" borderId="28" xfId="1" applyNumberFormat="1" applyFont="1" applyBorder="1" applyProtection="1"/>
    <xf numFmtId="177" fontId="5" fillId="0" borderId="29" xfId="3" applyNumberFormat="1" applyFont="1" applyBorder="1" applyProtection="1"/>
    <xf numFmtId="177" fontId="5" fillId="0" borderId="27" xfId="3" applyNumberFormat="1" applyFont="1" applyBorder="1" applyProtection="1"/>
    <xf numFmtId="177" fontId="5" fillId="0" borderId="28" xfId="3" applyNumberFormat="1" applyFont="1" applyBorder="1" applyProtection="1"/>
    <xf numFmtId="184" fontId="5" fillId="0" borderId="27" xfId="1" applyNumberFormat="1" applyFont="1" applyBorder="1" applyAlignment="1" applyProtection="1">
      <alignment horizontal="center"/>
    </xf>
    <xf numFmtId="184" fontId="5" fillId="0" borderId="28" xfId="1" applyNumberFormat="1" applyFont="1" applyBorder="1" applyAlignment="1" applyProtection="1">
      <alignment horizontal="center"/>
    </xf>
    <xf numFmtId="184" fontId="6" fillId="0" borderId="30" xfId="1" applyNumberFormat="1" applyFont="1" applyBorder="1" applyProtection="1">
      <protection locked="0"/>
    </xf>
    <xf numFmtId="40" fontId="5" fillId="0" borderId="29" xfId="1" applyNumberFormat="1" applyFont="1" applyBorder="1" applyProtection="1"/>
    <xf numFmtId="40" fontId="5" fillId="0" borderId="2" xfId="1" applyNumberFormat="1" applyFont="1" applyBorder="1" applyProtection="1"/>
    <xf numFmtId="183" fontId="5" fillId="0" borderId="3" xfId="3" applyNumberFormat="1" applyFont="1" applyBorder="1" applyProtection="1"/>
    <xf numFmtId="184" fontId="5" fillId="0" borderId="29" xfId="1" applyNumberFormat="1" applyFont="1" applyBorder="1" applyProtection="1"/>
    <xf numFmtId="184" fontId="5" fillId="0" borderId="2" xfId="1" applyNumberFormat="1" applyFont="1" applyBorder="1" applyProtection="1"/>
    <xf numFmtId="0" fontId="33" fillId="0" borderId="0" xfId="0" applyFont="1"/>
    <xf numFmtId="184" fontId="6" fillId="0" borderId="31" xfId="1" applyNumberFormat="1" applyFont="1" applyBorder="1" applyProtection="1">
      <protection locked="0"/>
    </xf>
    <xf numFmtId="184" fontId="6" fillId="0" borderId="32" xfId="1" applyNumberFormat="1" applyFont="1" applyBorder="1" applyProtection="1">
      <protection locked="0"/>
    </xf>
    <xf numFmtId="182" fontId="0" fillId="0" borderId="27" xfId="0" applyNumberFormat="1" applyBorder="1"/>
    <xf numFmtId="182" fontId="0" fillId="0" borderId="28" xfId="0" applyNumberFormat="1" applyBorder="1"/>
    <xf numFmtId="184" fontId="6" fillId="0" borderId="27" xfId="1" applyNumberFormat="1" applyFont="1" applyBorder="1" applyAlignment="1" applyProtection="1">
      <alignment horizontal="right"/>
      <protection locked="0"/>
    </xf>
    <xf numFmtId="38" fontId="11" fillId="0" borderId="6" xfId="1" applyFont="1" applyBorder="1" applyAlignment="1">
      <alignment horizontal="center"/>
    </xf>
    <xf numFmtId="186" fontId="11" fillId="0" borderId="6" xfId="1" applyNumberFormat="1" applyFont="1" applyBorder="1" applyAlignment="1">
      <alignment horizontal="center"/>
    </xf>
    <xf numFmtId="2" fontId="34" fillId="0" borderId="0" xfId="3" applyFont="1" applyFill="1" applyBorder="1" applyAlignment="1">
      <alignment vertical="center"/>
    </xf>
    <xf numFmtId="184" fontId="35" fillId="4" borderId="27" xfId="1" applyNumberFormat="1" applyFont="1" applyFill="1" applyBorder="1" applyAlignment="1" applyProtection="1">
      <alignment horizontal="center"/>
    </xf>
    <xf numFmtId="2" fontId="5" fillId="5" borderId="33" xfId="3" applyNumberFormat="1" applyFont="1" applyFill="1" applyBorder="1" applyAlignment="1" applyProtection="1">
      <alignment horizontal="center"/>
      <protection locked="0"/>
    </xf>
    <xf numFmtId="49" fontId="6" fillId="0" borderId="33" xfId="1" applyNumberFormat="1" applyFont="1" applyBorder="1" applyAlignment="1" applyProtection="1">
      <alignment horizontal="center"/>
      <protection locked="0"/>
    </xf>
    <xf numFmtId="0" fontId="6" fillId="0" borderId="33" xfId="1" applyNumberFormat="1" applyFont="1" applyBorder="1" applyAlignment="1" applyProtection="1">
      <alignment horizontal="center"/>
      <protection locked="0"/>
    </xf>
    <xf numFmtId="0" fontId="6" fillId="0" borderId="33" xfId="3" applyNumberFormat="1" applyFont="1" applyBorder="1" applyAlignment="1" applyProtection="1">
      <alignment horizontal="center"/>
      <protection locked="0"/>
    </xf>
    <xf numFmtId="2" fontId="5" fillId="5" borderId="2" xfId="3" applyNumberFormat="1" applyFont="1" applyFill="1" applyBorder="1" applyAlignment="1" applyProtection="1">
      <alignment horizontal="center"/>
    </xf>
    <xf numFmtId="2" fontId="5" fillId="5" borderId="3" xfId="3" applyNumberFormat="1" applyFont="1" applyFill="1" applyBorder="1" applyAlignment="1" applyProtection="1">
      <alignment horizontal="center"/>
    </xf>
    <xf numFmtId="183" fontId="5" fillId="5" borderId="4" xfId="3" applyNumberFormat="1" applyFont="1" applyFill="1" applyBorder="1" applyAlignment="1" applyProtection="1">
      <alignment horizontal="center"/>
    </xf>
    <xf numFmtId="2" fontId="5" fillId="5" borderId="4" xfId="3" applyNumberFormat="1" applyFont="1" applyFill="1" applyBorder="1" applyAlignment="1" applyProtection="1">
      <alignment horizontal="center"/>
    </xf>
    <xf numFmtId="184" fontId="5" fillId="5" borderId="4" xfId="1" applyNumberFormat="1" applyFont="1" applyFill="1" applyBorder="1" applyAlignment="1" applyProtection="1">
      <alignment horizontal="center"/>
    </xf>
    <xf numFmtId="184" fontId="5" fillId="5" borderId="28" xfId="1" applyNumberFormat="1" applyFont="1" applyFill="1" applyBorder="1" applyAlignment="1" applyProtection="1">
      <alignment horizontal="center"/>
    </xf>
    <xf numFmtId="2" fontId="11" fillId="2" borderId="6" xfId="3" applyFont="1" applyFill="1" applyBorder="1" applyAlignment="1">
      <alignment horizontal="center"/>
    </xf>
    <xf numFmtId="2" fontId="36" fillId="0" borderId="0" xfId="0" applyNumberFormat="1" applyFont="1" applyProtection="1">
      <protection locked="0"/>
    </xf>
    <xf numFmtId="2" fontId="5" fillId="6" borderId="0" xfId="3" applyFont="1" applyFill="1"/>
    <xf numFmtId="2" fontId="37" fillId="0" borderId="4" xfId="0" applyNumberFormat="1" applyFont="1" applyBorder="1" applyAlignment="1" applyProtection="1">
      <alignment horizontal="left"/>
      <protection locked="0"/>
    </xf>
    <xf numFmtId="2" fontId="38" fillId="0" borderId="34" xfId="0" applyNumberFormat="1" applyFont="1" applyBorder="1" applyProtection="1">
      <protection locked="0"/>
    </xf>
    <xf numFmtId="0" fontId="38" fillId="0" borderId="4" xfId="0" applyFont="1" applyBorder="1" applyProtection="1">
      <protection locked="0"/>
    </xf>
    <xf numFmtId="2" fontId="38" fillId="0" borderId="4" xfId="0" applyNumberFormat="1" applyFont="1" applyBorder="1" applyProtection="1">
      <protection locked="0"/>
    </xf>
    <xf numFmtId="180" fontId="27" fillId="0" borderId="4" xfId="0" applyNumberFormat="1" applyFont="1" applyBorder="1" applyProtection="1">
      <protection locked="0"/>
    </xf>
    <xf numFmtId="182" fontId="27" fillId="0" borderId="4" xfId="0" applyNumberFormat="1" applyFont="1" applyBorder="1" applyProtection="1">
      <protection locked="0"/>
    </xf>
    <xf numFmtId="187" fontId="11" fillId="0" borderId="6" xfId="3" applyNumberFormat="1" applyFont="1" applyBorder="1" applyAlignment="1">
      <alignment horizontal="center"/>
    </xf>
    <xf numFmtId="187" fontId="11" fillId="0" borderId="6" xfId="3" applyNumberFormat="1" applyFont="1" applyBorder="1" applyAlignment="1">
      <alignment horizontal="right"/>
    </xf>
    <xf numFmtId="187" fontId="12" fillId="0" borderId="6" xfId="3" applyNumberFormat="1" applyFont="1" applyBorder="1" applyAlignment="1">
      <alignment horizontal="right"/>
    </xf>
    <xf numFmtId="2" fontId="6" fillId="5" borderId="38" xfId="3" applyNumberFormat="1" applyFont="1" applyFill="1" applyBorder="1" applyProtection="1">
      <protection locked="0"/>
    </xf>
    <xf numFmtId="188" fontId="6" fillId="4" borderId="39" xfId="1" applyNumberFormat="1" applyFont="1" applyFill="1" applyBorder="1" applyProtection="1">
      <protection locked="0"/>
    </xf>
    <xf numFmtId="176" fontId="39" fillId="0" borderId="0" xfId="3" applyNumberFormat="1" applyFont="1" applyBorder="1" applyProtection="1">
      <protection locked="0"/>
    </xf>
    <xf numFmtId="176" fontId="38" fillId="0" borderId="34" xfId="0" applyNumberFormat="1" applyFont="1" applyBorder="1" applyProtection="1">
      <protection locked="0"/>
    </xf>
    <xf numFmtId="0" fontId="10" fillId="0" borderId="0" xfId="3" applyNumberFormat="1" applyFont="1" applyAlignment="1">
      <alignment horizontal="center"/>
    </xf>
    <xf numFmtId="179" fontId="30" fillId="0" borderId="20" xfId="3" applyNumberFormat="1" applyFont="1" applyBorder="1" applyAlignment="1"/>
    <xf numFmtId="0" fontId="0" fillId="0" borderId="3" xfId="0" applyBorder="1" applyAlignment="1"/>
    <xf numFmtId="49" fontId="6" fillId="0" borderId="0" xfId="3" applyNumberFormat="1" applyFont="1" applyAlignment="1" applyProtection="1">
      <alignment horizontal="left"/>
      <protection locked="0"/>
    </xf>
    <xf numFmtId="2" fontId="5" fillId="5" borderId="35" xfId="3" applyNumberFormat="1" applyFont="1" applyFill="1" applyBorder="1" applyAlignment="1" applyProtection="1">
      <alignment horizontal="center"/>
      <protection locked="0"/>
    </xf>
    <xf numFmtId="176" fontId="6" fillId="7" borderId="2" xfId="3" applyNumberFormat="1" applyFont="1" applyFill="1" applyBorder="1" applyProtection="1">
      <protection locked="0"/>
    </xf>
    <xf numFmtId="177" fontId="6" fillId="7" borderId="2" xfId="3" applyNumberFormat="1" applyFont="1" applyFill="1" applyBorder="1" applyProtection="1">
      <protection locked="0"/>
    </xf>
    <xf numFmtId="176" fontId="6" fillId="7" borderId="13" xfId="3" applyNumberFormat="1" applyFont="1" applyFill="1" applyBorder="1" applyProtection="1">
      <protection locked="0"/>
    </xf>
    <xf numFmtId="176" fontId="6" fillId="7" borderId="31" xfId="3" applyNumberFormat="1" applyFont="1" applyFill="1" applyBorder="1" applyProtection="1">
      <protection locked="0"/>
    </xf>
    <xf numFmtId="2" fontId="6" fillId="7" borderId="13" xfId="3" applyNumberFormat="1" applyFont="1" applyFill="1" applyBorder="1" applyProtection="1">
      <protection locked="0"/>
    </xf>
    <xf numFmtId="38" fontId="6" fillId="7" borderId="24" xfId="1" applyFont="1" applyFill="1" applyBorder="1" applyProtection="1">
      <protection locked="0"/>
    </xf>
    <xf numFmtId="182" fontId="0" fillId="8" borderId="27" xfId="0" applyNumberFormat="1" applyFill="1" applyBorder="1"/>
    <xf numFmtId="184" fontId="6" fillId="8" borderId="0" xfId="1" applyNumberFormat="1" applyFont="1" applyFill="1" applyProtection="1">
      <protection locked="0"/>
    </xf>
    <xf numFmtId="182" fontId="0" fillId="9" borderId="27" xfId="0" applyNumberFormat="1" applyFill="1" applyBorder="1"/>
    <xf numFmtId="182" fontId="0" fillId="0" borderId="27" xfId="0" applyNumberFormat="1" applyFill="1" applyBorder="1"/>
    <xf numFmtId="2" fontId="32" fillId="0" borderId="0" xfId="3" applyNumberFormat="1" applyFont="1" applyProtection="1">
      <protection locked="0"/>
    </xf>
    <xf numFmtId="184" fontId="6" fillId="0" borderId="2" xfId="1" applyNumberFormat="1" applyFont="1" applyFill="1" applyBorder="1" applyProtection="1">
      <protection locked="0"/>
    </xf>
    <xf numFmtId="38" fontId="32" fillId="7" borderId="24" xfId="1" applyFont="1" applyFill="1" applyBorder="1" applyProtection="1">
      <protection locked="0"/>
    </xf>
    <xf numFmtId="184" fontId="32" fillId="0" borderId="0" xfId="1" applyNumberFormat="1" applyFont="1" applyBorder="1" applyProtection="1">
      <protection locked="0"/>
    </xf>
    <xf numFmtId="176" fontId="32" fillId="7" borderId="13" xfId="3" applyNumberFormat="1" applyFont="1" applyFill="1" applyBorder="1" applyProtection="1">
      <protection locked="0"/>
    </xf>
    <xf numFmtId="176" fontId="32" fillId="0" borderId="0" xfId="3" applyNumberFormat="1" applyFont="1" applyBorder="1" applyProtection="1">
      <protection locked="0"/>
    </xf>
    <xf numFmtId="181" fontId="32" fillId="0" borderId="14" xfId="3" applyNumberFormat="1" applyFont="1" applyBorder="1" applyProtection="1"/>
    <xf numFmtId="176" fontId="42" fillId="7" borderId="13" xfId="3" applyNumberFormat="1" applyFont="1" applyFill="1" applyBorder="1" applyProtection="1">
      <protection locked="0"/>
    </xf>
    <xf numFmtId="2" fontId="4" fillId="3" borderId="23" xfId="3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left"/>
    </xf>
    <xf numFmtId="2" fontId="6" fillId="0" borderId="28" xfId="3" applyNumberFormat="1" applyFont="1" applyBorder="1" applyAlignment="1" applyProtection="1">
      <alignment horizontal="center" vertical="center" shrinkToFit="1"/>
      <protection locked="0"/>
    </xf>
    <xf numFmtId="2" fontId="6" fillId="0" borderId="34" xfId="3" applyNumberFormat="1" applyFont="1" applyBorder="1" applyAlignment="1" applyProtection="1">
      <alignment horizontal="center" vertical="center" shrinkToFit="1"/>
      <protection locked="0"/>
    </xf>
    <xf numFmtId="2" fontId="5" fillId="5" borderId="33" xfId="3" applyNumberFormat="1" applyFont="1" applyFill="1" applyBorder="1" applyAlignment="1" applyProtection="1">
      <alignment horizontal="center"/>
    </xf>
    <xf numFmtId="0" fontId="6" fillId="0" borderId="35" xfId="1" applyNumberFormat="1" applyFont="1" applyBorder="1" applyAlignment="1" applyProtection="1">
      <alignment horizontal="center" shrinkToFit="1"/>
      <protection locked="0"/>
    </xf>
    <xf numFmtId="0" fontId="6" fillId="0" borderId="36" xfId="1" applyNumberFormat="1" applyFont="1" applyBorder="1" applyAlignment="1" applyProtection="1">
      <alignment horizontal="center" shrinkToFit="1"/>
      <protection locked="0"/>
    </xf>
    <xf numFmtId="0" fontId="6" fillId="0" borderId="37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2" fontId="13" fillId="0" borderId="0" xfId="3" applyFont="1" applyFill="1" applyBorder="1" applyAlignment="1">
      <alignment horizontal="left" vertical="center"/>
    </xf>
    <xf numFmtId="2" fontId="4" fillId="10" borderId="0" xfId="3" applyFont="1" applyFill="1"/>
    <xf numFmtId="2" fontId="9" fillId="10" borderId="1" xfId="3" applyFont="1" applyFill="1" applyBorder="1" applyAlignment="1">
      <alignment horizontal="left" shrinkToFit="1"/>
    </xf>
    <xf numFmtId="2" fontId="13" fillId="10" borderId="0" xfId="3" applyFont="1" applyFill="1" applyBorder="1" applyAlignment="1">
      <alignment horizontal="left" vertical="center"/>
    </xf>
    <xf numFmtId="2" fontId="7" fillId="10" borderId="6" xfId="3" applyFont="1" applyFill="1" applyBorder="1" applyAlignment="1"/>
    <xf numFmtId="0" fontId="4" fillId="10" borderId="23" xfId="3" applyNumberFormat="1" applyFont="1" applyFill="1" applyBorder="1" applyAlignment="1">
      <alignment horizontal="center" vertical="center"/>
    </xf>
    <xf numFmtId="2" fontId="7" fillId="10" borderId="6" xfId="3" applyFont="1" applyFill="1" applyBorder="1"/>
    <xf numFmtId="179" fontId="11" fillId="10" borderId="6" xfId="3" applyNumberFormat="1" applyFont="1" applyFill="1" applyBorder="1" applyAlignment="1">
      <alignment horizontal="center"/>
    </xf>
    <xf numFmtId="178" fontId="11" fillId="10" borderId="6" xfId="3" applyNumberFormat="1" applyFont="1" applyFill="1" applyBorder="1" applyAlignment="1">
      <alignment horizontal="center"/>
    </xf>
    <xf numFmtId="187" fontId="11" fillId="10" borderId="6" xfId="3" applyNumberFormat="1" applyFont="1" applyFill="1" applyBorder="1" applyAlignment="1">
      <alignment horizontal="center"/>
    </xf>
    <xf numFmtId="0" fontId="10" fillId="10" borderId="0" xfId="3" applyNumberFormat="1" applyFont="1" applyFill="1" applyAlignment="1">
      <alignment horizontal="center"/>
    </xf>
    <xf numFmtId="38" fontId="11" fillId="10" borderId="6" xfId="1" applyFont="1" applyFill="1" applyBorder="1" applyAlignment="1">
      <alignment horizontal="center"/>
    </xf>
    <xf numFmtId="2" fontId="5" fillId="10" borderId="0" xfId="3" applyFont="1" applyFill="1"/>
    <xf numFmtId="178" fontId="12" fillId="10" borderId="6" xfId="3" applyNumberFormat="1" applyFont="1" applyFill="1" applyBorder="1" applyAlignment="1">
      <alignment horizontal="center"/>
    </xf>
    <xf numFmtId="181" fontId="12" fillId="10" borderId="6" xfId="3" applyNumberFormat="1" applyFont="1" applyFill="1" applyBorder="1" applyAlignment="1">
      <alignment horizontal="center"/>
    </xf>
    <xf numFmtId="179" fontId="11" fillId="10" borderId="6" xfId="1" applyNumberFormat="1" applyFont="1" applyFill="1" applyBorder="1" applyAlignment="1">
      <alignment horizontal="center"/>
    </xf>
    <xf numFmtId="186" fontId="11" fillId="10" borderId="6" xfId="1" applyNumberFormat="1" applyFont="1" applyFill="1" applyBorder="1" applyAlignment="1">
      <alignment horizontal="center"/>
    </xf>
    <xf numFmtId="178" fontId="7" fillId="10" borderId="0" xfId="3" applyNumberFormat="1" applyFont="1" applyFill="1" applyAlignment="1">
      <alignment horizontal="right"/>
    </xf>
    <xf numFmtId="0" fontId="13" fillId="10" borderId="0" xfId="0" applyFont="1" applyFill="1"/>
    <xf numFmtId="0" fontId="24" fillId="10" borderId="0" xfId="0" applyFont="1" applyFill="1"/>
    <xf numFmtId="184" fontId="5" fillId="10" borderId="27" xfId="1" applyNumberFormat="1" applyFont="1" applyFill="1" applyBorder="1" applyAlignment="1" applyProtection="1">
      <alignment horizontal="center"/>
    </xf>
    <xf numFmtId="182" fontId="27" fillId="10" borderId="4" xfId="0" applyNumberFormat="1" applyFont="1" applyFill="1" applyBorder="1" applyProtection="1">
      <protection locked="0"/>
    </xf>
    <xf numFmtId="177" fontId="5" fillId="10" borderId="2" xfId="3" applyNumberFormat="1" applyFont="1" applyFill="1" applyBorder="1" applyProtection="1"/>
    <xf numFmtId="177" fontId="5" fillId="10" borderId="3" xfId="3" applyNumberFormat="1" applyFont="1" applyFill="1" applyBorder="1" applyProtection="1"/>
    <xf numFmtId="184" fontId="5" fillId="10" borderId="2" xfId="1" applyNumberFormat="1" applyFont="1" applyFill="1" applyBorder="1" applyProtection="1"/>
    <xf numFmtId="184" fontId="5" fillId="10" borderId="29" xfId="1" applyNumberFormat="1" applyFont="1" applyFill="1" applyBorder="1" applyProtection="1"/>
    <xf numFmtId="2" fontId="5" fillId="10" borderId="2" xfId="3" applyNumberFormat="1" applyFont="1" applyFill="1" applyBorder="1" applyProtection="1"/>
    <xf numFmtId="177" fontId="5" fillId="10" borderId="29" xfId="3" applyNumberFormat="1" applyFont="1" applyFill="1" applyBorder="1" applyProtection="1"/>
    <xf numFmtId="0" fontId="27" fillId="10" borderId="4" xfId="0" applyFont="1" applyFill="1" applyBorder="1" applyProtection="1">
      <protection locked="0"/>
    </xf>
    <xf numFmtId="176" fontId="5" fillId="10" borderId="2" xfId="3" applyNumberFormat="1" applyFont="1" applyFill="1" applyBorder="1" applyProtection="1"/>
    <xf numFmtId="183" fontId="5" fillId="10" borderId="3" xfId="3" applyNumberFormat="1" applyFont="1" applyFill="1" applyBorder="1" applyProtection="1"/>
    <xf numFmtId="40" fontId="5" fillId="10" borderId="2" xfId="1" applyNumberFormat="1" applyFont="1" applyFill="1" applyBorder="1" applyProtection="1"/>
    <xf numFmtId="40" fontId="5" fillId="10" borderId="29" xfId="1" applyNumberFormat="1" applyFont="1" applyFill="1" applyBorder="1" applyProtection="1"/>
    <xf numFmtId="176" fontId="5" fillId="10" borderId="3" xfId="3" applyNumberFormat="1" applyFont="1" applyFill="1" applyBorder="1" applyProtection="1"/>
    <xf numFmtId="177" fontId="5" fillId="10" borderId="4" xfId="3" applyNumberFormat="1" applyFont="1" applyFill="1" applyBorder="1" applyProtection="1"/>
    <xf numFmtId="184" fontId="5" fillId="10" borderId="28" xfId="1" applyNumberFormat="1" applyFont="1" applyFill="1" applyBorder="1" applyProtection="1"/>
    <xf numFmtId="184" fontId="5" fillId="10" borderId="27" xfId="1" applyNumberFormat="1" applyFont="1" applyFill="1" applyBorder="1" applyProtection="1"/>
    <xf numFmtId="177" fontId="5" fillId="10" borderId="28" xfId="3" applyNumberFormat="1" applyFont="1" applyFill="1" applyBorder="1" applyProtection="1"/>
    <xf numFmtId="177" fontId="5" fillId="10" borderId="27" xfId="3" applyNumberFormat="1" applyFont="1" applyFill="1" applyBorder="1" applyProtection="1"/>
    <xf numFmtId="183" fontId="5" fillId="10" borderId="4" xfId="3" applyNumberFormat="1" applyFont="1" applyFill="1" applyBorder="1" applyProtection="1"/>
    <xf numFmtId="40" fontId="5" fillId="10" borderId="28" xfId="1" applyNumberFormat="1" applyFont="1" applyFill="1" applyBorder="1" applyProtection="1"/>
    <xf numFmtId="40" fontId="5" fillId="10" borderId="27" xfId="1" applyNumberFormat="1" applyFont="1" applyFill="1" applyBorder="1" applyProtection="1"/>
    <xf numFmtId="176" fontId="5" fillId="10" borderId="11" xfId="3" applyNumberFormat="1" applyFont="1" applyFill="1" applyBorder="1" applyProtection="1"/>
    <xf numFmtId="1" fontId="5" fillId="10" borderId="19" xfId="3" applyNumberFormat="1" applyFont="1" applyFill="1" applyBorder="1" applyProtection="1"/>
    <xf numFmtId="2" fontId="5" fillId="10" borderId="18" xfId="3" applyNumberFormat="1" applyFont="1" applyFill="1" applyBorder="1" applyProtection="1"/>
    <xf numFmtId="1" fontId="5" fillId="10" borderId="26" xfId="1" applyNumberFormat="1" applyFont="1" applyFill="1" applyBorder="1" applyProtection="1"/>
    <xf numFmtId="1" fontId="5" fillId="10" borderId="25" xfId="1" applyNumberFormat="1" applyFont="1" applyFill="1" applyBorder="1" applyProtection="1"/>
    <xf numFmtId="176" fontId="5" fillId="10" borderId="13" xfId="3" applyNumberFormat="1" applyFont="1" applyFill="1" applyBorder="1" applyProtection="1"/>
    <xf numFmtId="176" fontId="39" fillId="10" borderId="0" xfId="3" applyNumberFormat="1" applyFont="1" applyFill="1" applyBorder="1" applyProtection="1">
      <protection locked="0"/>
    </xf>
    <xf numFmtId="176" fontId="32" fillId="10" borderId="15" xfId="3" applyNumberFormat="1" applyFont="1" applyFill="1" applyBorder="1" applyProtection="1"/>
    <xf numFmtId="1" fontId="5" fillId="10" borderId="17" xfId="3" applyNumberFormat="1" applyFont="1" applyFill="1" applyBorder="1" applyProtection="1"/>
    <xf numFmtId="176" fontId="6" fillId="10" borderId="0" xfId="3" applyNumberFormat="1" applyFont="1" applyFill="1" applyProtection="1">
      <protection locked="0"/>
    </xf>
    <xf numFmtId="179" fontId="30" fillId="10" borderId="21" xfId="3" applyNumberFormat="1" applyFont="1" applyFill="1" applyBorder="1"/>
    <xf numFmtId="178" fontId="30" fillId="10" borderId="20" xfId="3" applyNumberFormat="1" applyFont="1" applyFill="1" applyBorder="1"/>
    <xf numFmtId="178" fontId="30" fillId="10" borderId="10" xfId="3" applyNumberFormat="1" applyFont="1" applyFill="1" applyBorder="1"/>
    <xf numFmtId="180" fontId="30" fillId="10" borderId="20" xfId="3" applyNumberFormat="1" applyFont="1" applyFill="1" applyBorder="1"/>
    <xf numFmtId="180" fontId="30" fillId="10" borderId="10" xfId="3" applyNumberFormat="1" applyFont="1" applyFill="1" applyBorder="1"/>
    <xf numFmtId="179" fontId="30" fillId="10" borderId="22" xfId="3" applyNumberFormat="1" applyFont="1" applyFill="1" applyBorder="1"/>
    <xf numFmtId="179" fontId="30" fillId="10" borderId="20" xfId="3" applyNumberFormat="1" applyFont="1" applyFill="1" applyBorder="1" applyAlignment="1"/>
  </cellXfs>
  <cellStyles count="5">
    <cellStyle name="桁区切り 2" xfId="1"/>
    <cellStyle name="標準" xfId="0" builtinId="0"/>
    <cellStyle name="標準 2" xfId="2"/>
    <cellStyle name="標準 3 4" xfId="4"/>
    <cellStyle name="標準_ﾊﾞﾀｰﾛｰﾙ生地" xfId="3"/>
  </cellStyles>
  <dxfs count="30"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2" name="角丸四角形 1"/>
        <xdr:cNvSpPr/>
      </xdr:nvSpPr>
      <xdr:spPr bwMode="auto">
        <a:xfrm>
          <a:off x="12274732" y="314598"/>
          <a:ext cx="2258242" cy="576398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86</xdr:row>
          <xdr:rowOff>0</xdr:rowOff>
        </xdr:from>
        <xdr:to>
          <xdr:col>20</xdr:col>
          <xdr:colOff>0</xdr:colOff>
          <xdr:row>87</xdr:row>
          <xdr:rowOff>76200</xdr:rowOff>
        </xdr:to>
        <xdr:sp macro="" textlink="">
          <xdr:nvSpPr>
            <xdr:cNvPr id="6145" name="cmdCopy87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86</xdr:row>
          <xdr:rowOff>0</xdr:rowOff>
        </xdr:from>
        <xdr:to>
          <xdr:col>26</xdr:col>
          <xdr:colOff>9525</xdr:colOff>
          <xdr:row>87</xdr:row>
          <xdr:rowOff>76200</xdr:rowOff>
        </xdr:to>
        <xdr:sp macro="" textlink="">
          <xdr:nvSpPr>
            <xdr:cNvPr id="6146" name="cmdClear87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103</xdr:row>
          <xdr:rowOff>0</xdr:rowOff>
        </xdr:from>
        <xdr:to>
          <xdr:col>20</xdr:col>
          <xdr:colOff>0</xdr:colOff>
          <xdr:row>104</xdr:row>
          <xdr:rowOff>47625</xdr:rowOff>
        </xdr:to>
        <xdr:sp macro="" textlink="">
          <xdr:nvSpPr>
            <xdr:cNvPr id="6147" name="cmdCopy104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4082</xdr:colOff>
          <xdr:row>103</xdr:row>
          <xdr:rowOff>0</xdr:rowOff>
        </xdr:from>
        <xdr:to>
          <xdr:col>26</xdr:col>
          <xdr:colOff>50347</xdr:colOff>
          <xdr:row>104</xdr:row>
          <xdr:rowOff>47625</xdr:rowOff>
        </xdr:to>
        <xdr:sp macro="" textlink="">
          <xdr:nvSpPr>
            <xdr:cNvPr id="6148" name="cmdClear10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2" name="角丸四角形 1"/>
        <xdr:cNvSpPr/>
      </xdr:nvSpPr>
      <xdr:spPr bwMode="auto">
        <a:xfrm>
          <a:off x="12274732" y="314598"/>
          <a:ext cx="2258242" cy="576398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86</xdr:row>
          <xdr:rowOff>0</xdr:rowOff>
        </xdr:from>
        <xdr:to>
          <xdr:col>20</xdr:col>
          <xdr:colOff>0</xdr:colOff>
          <xdr:row>87</xdr:row>
          <xdr:rowOff>76200</xdr:rowOff>
        </xdr:to>
        <xdr:sp macro="" textlink="">
          <xdr:nvSpPr>
            <xdr:cNvPr id="4097" name="cmdCopy87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86</xdr:row>
          <xdr:rowOff>0</xdr:rowOff>
        </xdr:from>
        <xdr:to>
          <xdr:col>26</xdr:col>
          <xdr:colOff>9525</xdr:colOff>
          <xdr:row>87</xdr:row>
          <xdr:rowOff>76200</xdr:rowOff>
        </xdr:to>
        <xdr:sp macro="" textlink="">
          <xdr:nvSpPr>
            <xdr:cNvPr id="4098" name="cmdClear87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103</xdr:row>
          <xdr:rowOff>0</xdr:rowOff>
        </xdr:from>
        <xdr:to>
          <xdr:col>20</xdr:col>
          <xdr:colOff>0</xdr:colOff>
          <xdr:row>104</xdr:row>
          <xdr:rowOff>47625</xdr:rowOff>
        </xdr:to>
        <xdr:sp macro="" textlink="">
          <xdr:nvSpPr>
            <xdr:cNvPr id="4099" name="cmdCopy104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4082</xdr:colOff>
          <xdr:row>103</xdr:row>
          <xdr:rowOff>0</xdr:rowOff>
        </xdr:from>
        <xdr:to>
          <xdr:col>26</xdr:col>
          <xdr:colOff>50347</xdr:colOff>
          <xdr:row>104</xdr:row>
          <xdr:rowOff>47625</xdr:rowOff>
        </xdr:to>
        <xdr:sp macro="" textlink="">
          <xdr:nvSpPr>
            <xdr:cNvPr id="4100" name="cmdClear10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609600</xdr:colOff>
      <xdr:row>8</xdr:row>
      <xdr:rowOff>185057</xdr:rowOff>
    </xdr:from>
    <xdr:to>
      <xdr:col>11</xdr:col>
      <xdr:colOff>261257</xdr:colOff>
      <xdr:row>17</xdr:row>
      <xdr:rowOff>108857</xdr:rowOff>
    </xdr:to>
    <xdr:sp macro="" textlink="">
      <xdr:nvSpPr>
        <xdr:cNvPr id="3" name="角丸四角形吹き出し 2"/>
        <xdr:cNvSpPr/>
      </xdr:nvSpPr>
      <xdr:spPr bwMode="auto">
        <a:xfrm>
          <a:off x="3135086" y="1992086"/>
          <a:ext cx="5486400" cy="2351314"/>
        </a:xfrm>
        <a:prstGeom prst="wedgeRound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2400"/>
            <a:t>分析結果で水分量確認。</a:t>
          </a:r>
          <a:endParaRPr kumimoji="1" lang="en-US" altLang="ja-JP" sz="2400"/>
        </a:p>
        <a:p>
          <a:pPr algn="l"/>
          <a:r>
            <a:rPr kumimoji="1" lang="en-US" altLang="ja-JP" sz="2400"/>
            <a:t>30</a:t>
          </a:r>
          <a:r>
            <a:rPr kumimoji="1" lang="ja-JP" altLang="en-US" sz="2400"/>
            <a:t>以上であれば、和生菓子</a:t>
          </a:r>
          <a:endParaRPr kumimoji="1" lang="en-US" altLang="ja-JP" sz="2400"/>
        </a:p>
        <a:p>
          <a:pPr algn="l"/>
          <a:r>
            <a:rPr kumimoji="1" lang="en-US" altLang="ja-JP" sz="2400"/>
            <a:t>30</a:t>
          </a:r>
          <a:r>
            <a:rPr kumimoji="1" lang="ja-JP" altLang="en-US" sz="2400"/>
            <a:t>未満であれば、菓子</a:t>
          </a:r>
          <a:endParaRPr kumimoji="1" lang="en-US" altLang="ja-JP" sz="2400"/>
        </a:p>
        <a:p>
          <a:pPr algn="l"/>
          <a:r>
            <a:rPr kumimoji="1" lang="ja-JP" altLang="en-US" sz="2400"/>
            <a:t>吉田さんへ報告するの忘れない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3" name="角丸四角形 2"/>
        <xdr:cNvSpPr/>
      </xdr:nvSpPr>
      <xdr:spPr bwMode="auto">
        <a:xfrm>
          <a:off x="13607143" y="326572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86</xdr:row>
          <xdr:rowOff>0</xdr:rowOff>
        </xdr:from>
        <xdr:to>
          <xdr:col>20</xdr:col>
          <xdr:colOff>0</xdr:colOff>
          <xdr:row>87</xdr:row>
          <xdr:rowOff>76200</xdr:rowOff>
        </xdr:to>
        <xdr:sp macro="" textlink="">
          <xdr:nvSpPr>
            <xdr:cNvPr id="3073" name="cmdCopy87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86</xdr:row>
          <xdr:rowOff>0</xdr:rowOff>
        </xdr:from>
        <xdr:to>
          <xdr:col>26</xdr:col>
          <xdr:colOff>9525</xdr:colOff>
          <xdr:row>87</xdr:row>
          <xdr:rowOff>76200</xdr:rowOff>
        </xdr:to>
        <xdr:sp macro="" textlink="">
          <xdr:nvSpPr>
            <xdr:cNvPr id="3074" name="cmdClear87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103</xdr:row>
          <xdr:rowOff>0</xdr:rowOff>
        </xdr:from>
        <xdr:to>
          <xdr:col>20</xdr:col>
          <xdr:colOff>0</xdr:colOff>
          <xdr:row>104</xdr:row>
          <xdr:rowOff>47625</xdr:rowOff>
        </xdr:to>
        <xdr:sp macro="" textlink="">
          <xdr:nvSpPr>
            <xdr:cNvPr id="3075" name="cmdCopy104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4082</xdr:colOff>
          <xdr:row>103</xdr:row>
          <xdr:rowOff>0</xdr:rowOff>
        </xdr:from>
        <xdr:to>
          <xdr:col>26</xdr:col>
          <xdr:colOff>50347</xdr:colOff>
          <xdr:row>104</xdr:row>
          <xdr:rowOff>47625</xdr:rowOff>
        </xdr:to>
        <xdr:sp macro="" textlink="">
          <xdr:nvSpPr>
            <xdr:cNvPr id="3076" name="cmdClear10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12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B1" transitionEvaluation="1" codeName="Sheet32">
    <pageSetUpPr fitToPage="1"/>
  </sheetPr>
  <dimension ref="A1:AO120"/>
  <sheetViews>
    <sheetView showGridLines="0" tabSelected="1" topLeftCell="B1" zoomScale="70" zoomScaleNormal="70" workbookViewId="0">
      <selection activeCell="C87" sqref="C87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83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 t="s">
        <v>95</v>
      </c>
      <c r="C1" s="184" t="s">
        <v>105</v>
      </c>
      <c r="D1" s="2"/>
      <c r="E1" s="2"/>
      <c r="F1" s="2"/>
      <c r="G1" s="2"/>
      <c r="H1" s="2"/>
      <c r="I1" s="2"/>
      <c r="J1" s="2"/>
      <c r="K1" s="2"/>
      <c r="L1" s="3"/>
      <c r="M1" s="3"/>
      <c r="AA1" s="154" t="s">
        <v>71</v>
      </c>
    </row>
    <row r="2" spans="1:37" x14ac:dyDescent="0.2">
      <c r="A2" s="110" t="s">
        <v>73</v>
      </c>
      <c r="B2" s="2"/>
      <c r="C2" s="2" t="s">
        <v>109</v>
      </c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62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55" t="s">
        <v>76</v>
      </c>
      <c r="B4" s="2"/>
      <c r="C4" s="2"/>
      <c r="D4" s="2"/>
      <c r="E4" s="2"/>
      <c r="F4" s="173" t="s">
        <v>74</v>
      </c>
      <c r="G4" s="194" t="s">
        <v>96</v>
      </c>
      <c r="H4" s="195"/>
      <c r="I4" s="2"/>
      <c r="J4" s="2"/>
      <c r="K4" s="2"/>
      <c r="L4" s="3"/>
      <c r="M4" s="181" t="s">
        <v>102</v>
      </c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96" t="s">
        <v>1</v>
      </c>
      <c r="B5" s="196"/>
      <c r="C5" s="196"/>
      <c r="D5" s="196"/>
      <c r="E5" s="196"/>
      <c r="F5" s="143" t="s">
        <v>66</v>
      </c>
      <c r="G5" s="143" t="s">
        <v>67</v>
      </c>
      <c r="H5" s="143" t="s">
        <v>68</v>
      </c>
      <c r="I5" s="172" t="s">
        <v>110</v>
      </c>
      <c r="J5" s="2"/>
      <c r="K5" s="2" t="s">
        <v>97</v>
      </c>
      <c r="L5" s="3"/>
      <c r="M5" s="8"/>
      <c r="AA5" s="5"/>
      <c r="AB5" s="5"/>
      <c r="AC5" s="5"/>
      <c r="AD5" s="5"/>
      <c r="AE5" s="5"/>
      <c r="AF5" s="5"/>
      <c r="AG5" s="5"/>
      <c r="AH5" s="5"/>
      <c r="AI5" s="204" t="str">
        <f>$I$5</f>
        <v>2026年4月13日</v>
      </c>
      <c r="AJ5" s="5"/>
    </row>
    <row r="6" spans="1:37" ht="21" x14ac:dyDescent="0.2">
      <c r="A6" s="197" t="s">
        <v>104</v>
      </c>
      <c r="B6" s="198"/>
      <c r="C6" s="198"/>
      <c r="D6" s="198"/>
      <c r="E6" s="199"/>
      <c r="F6" s="144" t="s">
        <v>100</v>
      </c>
      <c r="G6" s="145" t="s">
        <v>101</v>
      </c>
      <c r="H6" s="146" t="s">
        <v>77</v>
      </c>
      <c r="I6" s="6"/>
      <c r="J6" s="7"/>
      <c r="K6" s="7" t="s">
        <v>98</v>
      </c>
      <c r="L6" s="8"/>
      <c r="AA6" s="5"/>
      <c r="AB6" s="5"/>
      <c r="AC6" s="5"/>
      <c r="AD6" s="5"/>
      <c r="AE6" s="5"/>
      <c r="AF6" s="14"/>
      <c r="AG6" s="14"/>
      <c r="AH6" s="5"/>
      <c r="AI6" s="5"/>
      <c r="AJ6" s="5"/>
    </row>
    <row r="7" spans="1:37" ht="24" x14ac:dyDescent="0.25">
      <c r="A7" s="147" t="s">
        <v>2</v>
      </c>
      <c r="B7" s="147" t="s">
        <v>3</v>
      </c>
      <c r="C7" s="147" t="s">
        <v>4</v>
      </c>
      <c r="D7" s="147" t="s">
        <v>5</v>
      </c>
      <c r="E7" s="147" t="s">
        <v>6</v>
      </c>
      <c r="F7" s="147" t="s">
        <v>7</v>
      </c>
      <c r="G7" s="147" t="s">
        <v>8</v>
      </c>
      <c r="H7" s="147" t="s">
        <v>9</v>
      </c>
      <c r="I7" s="148" t="s">
        <v>10</v>
      </c>
      <c r="J7" s="149" t="s">
        <v>11</v>
      </c>
      <c r="K7" s="150" t="s">
        <v>12</v>
      </c>
      <c r="L7" s="152" t="s">
        <v>13</v>
      </c>
      <c r="M7" s="142" t="s">
        <v>65</v>
      </c>
      <c r="AA7" s="15" t="s">
        <v>14</v>
      </c>
      <c r="AB7" s="205" t="str">
        <f>IF(COUNTIF($F$6,"1"),CONCATENATE($A$6,"(",$H$6,")"),CONCATENATE($A$6,$F$6,$G$6,"入","(",$H$6,")"))</f>
        <v>2608ｱﾝﾊﾟﾝﾏﾝのﾐﾆ蒸しﾊﾟﾝみるく味3個入(本社)</v>
      </c>
      <c r="AC7" s="205"/>
      <c r="AD7" s="205"/>
      <c r="AE7" s="205"/>
      <c r="AF7" s="205"/>
      <c r="AG7" s="205"/>
      <c r="AH7" s="205"/>
      <c r="AI7" s="205"/>
      <c r="AJ7" s="5"/>
    </row>
    <row r="8" spans="1:37" x14ac:dyDescent="0.2">
      <c r="A8" s="94" t="s">
        <v>79</v>
      </c>
      <c r="B8" s="95">
        <v>120</v>
      </c>
      <c r="C8" s="96">
        <v>0.7</v>
      </c>
      <c r="D8" s="96">
        <v>0</v>
      </c>
      <c r="E8" s="96">
        <v>0</v>
      </c>
      <c r="F8" s="96">
        <v>99.3</v>
      </c>
      <c r="G8" s="96"/>
      <c r="H8" s="96">
        <v>0</v>
      </c>
      <c r="I8" s="96">
        <v>1</v>
      </c>
      <c r="J8" s="96"/>
      <c r="K8" s="96"/>
      <c r="L8" s="96">
        <v>0</v>
      </c>
      <c r="M8" s="180">
        <v>1</v>
      </c>
      <c r="AB8" s="5" t="s">
        <v>103</v>
      </c>
    </row>
    <row r="9" spans="1:37" x14ac:dyDescent="0.2">
      <c r="A9" s="94" t="s">
        <v>80</v>
      </c>
      <c r="B9" s="95">
        <v>30</v>
      </c>
      <c r="C9" s="96">
        <v>37.9</v>
      </c>
      <c r="D9" s="96">
        <v>1.8</v>
      </c>
      <c r="E9" s="96">
        <v>1.7</v>
      </c>
      <c r="F9" s="96">
        <v>58.4</v>
      </c>
      <c r="G9" s="96">
        <v>0.1</v>
      </c>
      <c r="H9" s="96">
        <v>0.1</v>
      </c>
      <c r="I9" s="96">
        <v>29</v>
      </c>
      <c r="J9" s="96">
        <v>0.02</v>
      </c>
      <c r="K9" s="96">
        <v>0.12</v>
      </c>
      <c r="L9" s="96">
        <v>0</v>
      </c>
      <c r="M9" s="136"/>
      <c r="AA9" s="5"/>
      <c r="AB9" s="5" t="s">
        <v>75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94" t="s">
        <v>81</v>
      </c>
      <c r="B10" s="95">
        <v>20</v>
      </c>
      <c r="C10" s="96">
        <v>24.5</v>
      </c>
      <c r="D10" s="96">
        <v>0</v>
      </c>
      <c r="E10" s="96">
        <v>0</v>
      </c>
      <c r="F10" s="96">
        <v>75.5</v>
      </c>
      <c r="G10" s="96">
        <v>0</v>
      </c>
      <c r="H10" s="96">
        <v>0</v>
      </c>
      <c r="I10" s="96">
        <v>0</v>
      </c>
      <c r="J10" s="96">
        <v>0</v>
      </c>
      <c r="K10" s="96">
        <v>0</v>
      </c>
      <c r="L10" s="96">
        <v>0</v>
      </c>
      <c r="M10" s="136"/>
      <c r="AA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94" t="s">
        <v>99</v>
      </c>
      <c r="B11" s="95">
        <v>120</v>
      </c>
      <c r="C11" s="96">
        <v>75</v>
      </c>
      <c r="D11" s="96">
        <v>12.2</v>
      </c>
      <c r="E11" s="96">
        <v>10.199999999999999</v>
      </c>
      <c r="F11" s="96">
        <v>0.4</v>
      </c>
      <c r="G11" s="96">
        <v>0</v>
      </c>
      <c r="H11" s="96">
        <v>1</v>
      </c>
      <c r="I11" s="96">
        <v>140</v>
      </c>
      <c r="J11" s="96"/>
      <c r="K11" s="96">
        <v>3.12</v>
      </c>
      <c r="L11" s="96">
        <v>370</v>
      </c>
      <c r="M11" s="180">
        <v>46</v>
      </c>
      <c r="N11" s="4" t="s">
        <v>82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94" t="s">
        <v>83</v>
      </c>
      <c r="B12" s="95">
        <v>40</v>
      </c>
      <c r="C12" s="96">
        <v>12</v>
      </c>
      <c r="D12" s="96">
        <v>0.2</v>
      </c>
      <c r="E12" s="96">
        <v>0</v>
      </c>
      <c r="F12" s="96">
        <v>86.2</v>
      </c>
      <c r="G12" s="96">
        <v>1.4</v>
      </c>
      <c r="H12" s="96">
        <v>0.2</v>
      </c>
      <c r="I12" s="96">
        <v>7</v>
      </c>
      <c r="J12" s="96">
        <v>0</v>
      </c>
      <c r="K12" s="96">
        <v>0.18</v>
      </c>
      <c r="L12" s="96">
        <v>0</v>
      </c>
      <c r="M12" s="136"/>
      <c r="AA12" s="15" t="s">
        <v>15</v>
      </c>
      <c r="AB12" s="5"/>
      <c r="AC12" s="5"/>
      <c r="AD12" s="16"/>
      <c r="AE12" s="201" t="s">
        <v>58</v>
      </c>
      <c r="AF12" s="141"/>
      <c r="AG12" s="206" t="str">
        <f>"1"&amp;$G$6&amp;"当たり"</f>
        <v>1包装当たり</v>
      </c>
      <c r="AH12" s="206"/>
      <c r="AI12" s="206"/>
      <c r="AJ12" s="17"/>
      <c r="AK12" s="192" t="s">
        <v>44</v>
      </c>
    </row>
    <row r="13" spans="1:37" ht="24.75" x14ac:dyDescent="0.25">
      <c r="A13" s="94" t="s">
        <v>84</v>
      </c>
      <c r="B13" s="95">
        <v>5</v>
      </c>
      <c r="C13" s="96">
        <v>14.2</v>
      </c>
      <c r="D13" s="96">
        <v>8.3000000000000007</v>
      </c>
      <c r="E13" s="96">
        <v>1.5</v>
      </c>
      <c r="F13" s="96">
        <v>73.13</v>
      </c>
      <c r="G13" s="96">
        <v>2.5</v>
      </c>
      <c r="H13" s="96">
        <v>0.37</v>
      </c>
      <c r="I13" s="96">
        <v>0</v>
      </c>
      <c r="J13" s="96"/>
      <c r="K13" s="96">
        <v>0.34</v>
      </c>
      <c r="L13" s="96">
        <v>0</v>
      </c>
      <c r="M13" s="180">
        <v>20</v>
      </c>
      <c r="AA13" s="5"/>
      <c r="AB13" s="5"/>
      <c r="AC13" s="5"/>
      <c r="AD13" s="18"/>
      <c r="AE13" s="202"/>
      <c r="AF13" s="16"/>
      <c r="AG13" s="213">
        <f>IF((COUNTIF($A$6,"*7P*")+COUNTIF($A$6,"*ｾﾌﾞﾝﾌﾟﾚﾐｱﾑ*")),$B$106,ROUND($B$102,0))</f>
        <v>99</v>
      </c>
      <c r="AH13" s="20" t="s">
        <v>16</v>
      </c>
      <c r="AI13" s="19"/>
      <c r="AJ13" s="21"/>
      <c r="AK13" s="192"/>
    </row>
    <row r="14" spans="1:37" s="22" customFormat="1" ht="22.5" x14ac:dyDescent="0.25">
      <c r="A14" s="94" t="s">
        <v>85</v>
      </c>
      <c r="B14" s="95">
        <v>5</v>
      </c>
      <c r="C14" s="96">
        <v>14.2</v>
      </c>
      <c r="D14" s="96">
        <v>0.1</v>
      </c>
      <c r="E14" s="96">
        <v>0.2</v>
      </c>
      <c r="F14" s="96">
        <v>85.3</v>
      </c>
      <c r="G14" s="96">
        <v>0</v>
      </c>
      <c r="H14" s="96">
        <v>0.2</v>
      </c>
      <c r="I14" s="96">
        <v>59</v>
      </c>
      <c r="J14" s="96">
        <v>0</v>
      </c>
      <c r="K14" s="96">
        <v>0.02</v>
      </c>
      <c r="L14" s="96">
        <v>0</v>
      </c>
      <c r="M14" s="136"/>
      <c r="N14" s="4"/>
      <c r="O14" s="4"/>
      <c r="AA14" s="207" t="str">
        <f>IF(COUNTIF(A6,"*FM*"),"熱量","エネルギー")</f>
        <v>エネルギー</v>
      </c>
      <c r="AB14" s="24"/>
      <c r="AC14" s="25"/>
      <c r="AD14" s="25"/>
      <c r="AE14" s="210">
        <f>$C$108</f>
        <v>340</v>
      </c>
      <c r="AF14" s="27"/>
      <c r="AG14" s="210">
        <f>ROUND((AG15+AG17)*4+(AG16*9),0)</f>
        <v>337</v>
      </c>
      <c r="AH14" s="25" t="s">
        <v>49</v>
      </c>
      <c r="AI14" s="28"/>
      <c r="AJ14" s="24"/>
      <c r="AK14" s="93">
        <v>0</v>
      </c>
    </row>
    <row r="15" spans="1:37" ht="22.5" x14ac:dyDescent="0.25">
      <c r="A15" s="94" t="s">
        <v>84</v>
      </c>
      <c r="B15" s="95">
        <v>50</v>
      </c>
      <c r="C15" s="96">
        <v>14.2</v>
      </c>
      <c r="D15" s="96">
        <v>8.3000000000000007</v>
      </c>
      <c r="E15" s="96">
        <v>1.5</v>
      </c>
      <c r="F15" s="96">
        <v>73.13</v>
      </c>
      <c r="G15" s="96">
        <v>2.5</v>
      </c>
      <c r="H15" s="96">
        <v>0.37</v>
      </c>
      <c r="I15" s="96">
        <v>0</v>
      </c>
      <c r="J15" s="96"/>
      <c r="K15" s="96">
        <v>0.34</v>
      </c>
      <c r="L15" s="96">
        <v>0</v>
      </c>
      <c r="M15" s="136"/>
      <c r="AA15" s="29" t="s">
        <v>17</v>
      </c>
      <c r="AB15" s="30"/>
      <c r="AC15" s="25"/>
      <c r="AD15" s="25"/>
      <c r="AE15" s="211">
        <f>$D$104</f>
        <v>5</v>
      </c>
      <c r="AF15" s="27"/>
      <c r="AG15" s="211">
        <f>ROUND(($AG$13*AE15)/100,1)</f>
        <v>5</v>
      </c>
      <c r="AH15" s="25" t="s">
        <v>59</v>
      </c>
      <c r="AI15" s="28"/>
      <c r="AJ15" s="30"/>
      <c r="AK15" s="93">
        <v>1</v>
      </c>
    </row>
    <row r="16" spans="1:37" ht="22.5" x14ac:dyDescent="0.25">
      <c r="A16" s="94" t="s">
        <v>86</v>
      </c>
      <c r="B16" s="95">
        <v>3</v>
      </c>
      <c r="C16" s="96">
        <v>0.4</v>
      </c>
      <c r="D16" s="96">
        <v>0</v>
      </c>
      <c r="E16" s="96">
        <v>0.1</v>
      </c>
      <c r="F16" s="96">
        <v>35.299999999999997</v>
      </c>
      <c r="G16" s="96">
        <v>0</v>
      </c>
      <c r="H16" s="96">
        <v>64.2</v>
      </c>
      <c r="I16" s="96">
        <v>14345</v>
      </c>
      <c r="J16" s="96">
        <v>0</v>
      </c>
      <c r="K16" s="96">
        <v>0.04</v>
      </c>
      <c r="L16" s="96">
        <v>0</v>
      </c>
      <c r="M16" s="182">
        <v>0</v>
      </c>
      <c r="N16" s="22"/>
      <c r="O16" s="22"/>
      <c r="AA16" s="29" t="s">
        <v>18</v>
      </c>
      <c r="AB16" s="25"/>
      <c r="AC16" s="25"/>
      <c r="AD16" s="25"/>
      <c r="AE16" s="211">
        <f>$E$104</f>
        <v>13.8</v>
      </c>
      <c r="AF16" s="27"/>
      <c r="AG16" s="211">
        <f>ROUND(($AG$13*AE16)/100,1)</f>
        <v>13.7</v>
      </c>
      <c r="AH16" s="25" t="s">
        <v>59</v>
      </c>
      <c r="AI16" s="28"/>
      <c r="AJ16" s="30"/>
      <c r="AK16" s="93">
        <v>1</v>
      </c>
    </row>
    <row r="17" spans="1:41" ht="22.5" x14ac:dyDescent="0.25">
      <c r="A17" s="94" t="s">
        <v>87</v>
      </c>
      <c r="B17" s="95">
        <v>4</v>
      </c>
      <c r="C17" s="96">
        <v>0.2</v>
      </c>
      <c r="D17" s="96">
        <v>57.1</v>
      </c>
      <c r="E17" s="96">
        <v>0.7</v>
      </c>
      <c r="F17" s="96">
        <v>14.8</v>
      </c>
      <c r="G17" s="96">
        <v>0</v>
      </c>
      <c r="H17" s="96">
        <v>27.2</v>
      </c>
      <c r="I17" s="96">
        <v>10000</v>
      </c>
      <c r="J17" s="96">
        <v>0</v>
      </c>
      <c r="K17" s="96">
        <v>0.4</v>
      </c>
      <c r="L17" s="96">
        <v>0</v>
      </c>
      <c r="M17" s="183"/>
      <c r="AA17" s="29" t="s">
        <v>20</v>
      </c>
      <c r="AB17" s="30"/>
      <c r="AC17" s="25"/>
      <c r="AD17" s="25"/>
      <c r="AE17" s="211">
        <f>$F$106</f>
        <v>49</v>
      </c>
      <c r="AF17" s="27"/>
      <c r="AG17" s="211">
        <f>ROUND(($AG$13*AE17)/100,1)</f>
        <v>48.5</v>
      </c>
      <c r="AH17" s="25" t="s">
        <v>59</v>
      </c>
      <c r="AI17" s="28"/>
      <c r="AJ17" s="30"/>
      <c r="AK17" s="93">
        <v>1</v>
      </c>
    </row>
    <row r="18" spans="1:41" ht="22.5" x14ac:dyDescent="0.25">
      <c r="A18" s="94" t="s">
        <v>88</v>
      </c>
      <c r="B18" s="95">
        <v>3</v>
      </c>
      <c r="C18" s="96">
        <v>0.3</v>
      </c>
      <c r="D18" s="96">
        <v>2.1</v>
      </c>
      <c r="E18" s="96">
        <v>0.1</v>
      </c>
      <c r="F18" s="96">
        <v>0.7</v>
      </c>
      <c r="G18" s="96">
        <v>0</v>
      </c>
      <c r="H18" s="96">
        <v>96.8</v>
      </c>
      <c r="I18" s="96">
        <v>76</v>
      </c>
      <c r="J18" s="96">
        <v>0</v>
      </c>
      <c r="K18" s="96">
        <v>0</v>
      </c>
      <c r="L18" s="96">
        <v>3</v>
      </c>
      <c r="M18" s="182">
        <v>38000</v>
      </c>
      <c r="AA18" s="29" t="s">
        <v>21</v>
      </c>
      <c r="AB18" s="30"/>
      <c r="AC18" s="25"/>
      <c r="AD18" s="25"/>
      <c r="AE18" s="212">
        <f>IF($AE$21&lt;4.5,0,ROUND($AE$21/1000*2.54,2))</f>
        <v>0.74</v>
      </c>
      <c r="AF18" s="163"/>
      <c r="AG18" s="212">
        <f>IF($AE$21&lt;4.5,0,ROUND($AG$21/1000*2.54,2))</f>
        <v>0.73</v>
      </c>
      <c r="AH18" s="25" t="s">
        <v>59</v>
      </c>
      <c r="AI18" s="33"/>
      <c r="AJ18" s="30"/>
      <c r="AK18" s="208">
        <f>IF($AE$21&lt;4.5,0,2)</f>
        <v>2</v>
      </c>
    </row>
    <row r="19" spans="1:41" ht="22.5" x14ac:dyDescent="0.25">
      <c r="A19" s="94" t="s">
        <v>89</v>
      </c>
      <c r="B19" s="95">
        <v>1</v>
      </c>
      <c r="C19" s="96">
        <v>0.1</v>
      </c>
      <c r="D19" s="96">
        <v>0</v>
      </c>
      <c r="E19" s="96">
        <v>0</v>
      </c>
      <c r="F19" s="96">
        <v>0</v>
      </c>
      <c r="G19" s="96">
        <v>0</v>
      </c>
      <c r="H19" s="96">
        <v>99.9</v>
      </c>
      <c r="I19" s="96">
        <v>39000</v>
      </c>
      <c r="J19" s="96">
        <v>0</v>
      </c>
      <c r="K19" s="96">
        <v>0</v>
      </c>
      <c r="L19" s="96">
        <v>0</v>
      </c>
      <c r="M19" s="180">
        <v>0</v>
      </c>
      <c r="AA19" s="209" t="str">
        <f>IF($M$7="","",$M$7)</f>
        <v>カルシウム</v>
      </c>
      <c r="AB19" s="30"/>
      <c r="AC19" s="153"/>
      <c r="AD19" s="25"/>
      <c r="AE19" s="210">
        <f>$M$104</f>
        <v>260</v>
      </c>
      <c r="AF19" s="27"/>
      <c r="AG19" s="214">
        <f>ROUNDDOWN(($AG$13*AE19)/100,0)</f>
        <v>257</v>
      </c>
      <c r="AH19" s="153" t="s">
        <v>60</v>
      </c>
      <c r="AI19" s="26"/>
      <c r="AJ19" s="30"/>
      <c r="AK19" s="93">
        <v>0</v>
      </c>
    </row>
    <row r="20" spans="1:41" ht="22.5" x14ac:dyDescent="0.25">
      <c r="A20" s="94" t="s">
        <v>90</v>
      </c>
      <c r="B20" s="95">
        <v>15</v>
      </c>
      <c r="C20" s="96">
        <v>87.4</v>
      </c>
      <c r="D20" s="96">
        <v>3.3</v>
      </c>
      <c r="E20" s="96">
        <v>3.8</v>
      </c>
      <c r="F20" s="96">
        <v>4.8</v>
      </c>
      <c r="G20" s="96">
        <v>0</v>
      </c>
      <c r="H20" s="96">
        <v>0.7</v>
      </c>
      <c r="I20" s="96">
        <v>41</v>
      </c>
      <c r="J20" s="96">
        <v>0.14000000000000001</v>
      </c>
      <c r="K20" s="96">
        <v>2.33</v>
      </c>
      <c r="L20" s="96">
        <v>12</v>
      </c>
      <c r="M20" s="180">
        <v>110</v>
      </c>
      <c r="N20" s="4" t="s">
        <v>91</v>
      </c>
      <c r="AA20" s="29"/>
      <c r="AB20" s="30"/>
      <c r="AC20" s="25"/>
      <c r="AD20" s="25"/>
      <c r="AE20" s="33"/>
      <c r="AF20" s="27"/>
      <c r="AG20" s="33"/>
      <c r="AH20" s="25"/>
      <c r="AI20" s="33"/>
      <c r="AJ20" s="30"/>
    </row>
    <row r="21" spans="1:41" ht="22.5" x14ac:dyDescent="0.25">
      <c r="A21" s="94" t="s">
        <v>92</v>
      </c>
      <c r="B21" s="95">
        <v>50</v>
      </c>
      <c r="C21" s="96">
        <v>0</v>
      </c>
      <c r="D21" s="96">
        <v>0</v>
      </c>
      <c r="E21" s="96">
        <v>100</v>
      </c>
      <c r="F21" s="96">
        <v>0</v>
      </c>
      <c r="G21" s="96">
        <v>0</v>
      </c>
      <c r="H21" s="96">
        <v>0</v>
      </c>
      <c r="I21" s="96">
        <v>0</v>
      </c>
      <c r="J21" s="96">
        <v>1.3</v>
      </c>
      <c r="K21" s="96">
        <v>14.9</v>
      </c>
      <c r="L21" s="96">
        <v>1</v>
      </c>
      <c r="M21" s="183"/>
      <c r="AA21" s="29" t="s">
        <v>22</v>
      </c>
      <c r="AB21" s="30"/>
      <c r="AC21" s="25"/>
      <c r="AD21" s="25"/>
      <c r="AE21" s="210">
        <f>$I$104</f>
        <v>290</v>
      </c>
      <c r="AF21" s="27"/>
      <c r="AG21" s="219">
        <f>ROUND(($AG$13*AE21)/100,0)</f>
        <v>287</v>
      </c>
      <c r="AH21" s="25" t="s">
        <v>60</v>
      </c>
      <c r="AI21" s="26"/>
      <c r="AJ21" s="30"/>
    </row>
    <row r="22" spans="1:41" ht="22.5" x14ac:dyDescent="0.25">
      <c r="A22" s="94"/>
      <c r="B22" s="95"/>
      <c r="C22" s="96"/>
      <c r="D22" s="96"/>
      <c r="E22" s="96"/>
      <c r="F22" s="96"/>
      <c r="G22" s="96"/>
      <c r="H22" s="96"/>
      <c r="I22" s="96"/>
      <c r="J22" s="96"/>
      <c r="K22" s="96"/>
      <c r="L22" s="96"/>
      <c r="M22" s="136"/>
      <c r="AA22" s="29" t="s">
        <v>23</v>
      </c>
      <c r="AB22" s="36"/>
      <c r="AC22" s="37"/>
      <c r="AD22" s="37"/>
      <c r="AE22" s="216">
        <f>$C$104</f>
        <v>30.9</v>
      </c>
      <c r="AF22" s="39"/>
      <c r="AG22" s="216">
        <f>ROUND(($AG$13*AE22)/100,1)</f>
        <v>30.6</v>
      </c>
      <c r="AH22" s="37" t="s">
        <v>59</v>
      </c>
      <c r="AI22" s="38"/>
      <c r="AJ22" s="33"/>
    </row>
    <row r="23" spans="1:41" ht="21" x14ac:dyDescent="0.2">
      <c r="A23" s="94" t="s">
        <v>93</v>
      </c>
      <c r="B23" s="95">
        <v>7</v>
      </c>
      <c r="C23" s="96">
        <v>40.9</v>
      </c>
      <c r="D23" s="96">
        <v>0</v>
      </c>
      <c r="E23" s="96">
        <v>0.05</v>
      </c>
      <c r="F23" s="96">
        <v>0.05</v>
      </c>
      <c r="G23" s="96"/>
      <c r="H23" s="96">
        <v>0</v>
      </c>
      <c r="I23" s="96">
        <v>1.03</v>
      </c>
      <c r="J23" s="96"/>
      <c r="K23" s="96"/>
      <c r="L23" s="96"/>
      <c r="M23" s="136"/>
      <c r="AA23" s="29" t="s">
        <v>26</v>
      </c>
      <c r="AB23" s="36"/>
      <c r="AC23" s="37"/>
      <c r="AD23" s="37"/>
      <c r="AE23" s="217">
        <f>$H$104</f>
        <v>1.3</v>
      </c>
      <c r="AF23" s="164"/>
      <c r="AG23" s="217">
        <f>ROUND(($AG$13*AE23)/100,1)</f>
        <v>1.3</v>
      </c>
      <c r="AH23" s="37" t="s">
        <v>59</v>
      </c>
      <c r="AI23" s="38"/>
      <c r="AJ23" s="36"/>
    </row>
    <row r="24" spans="1:41" ht="22.5" x14ac:dyDescent="0.25">
      <c r="A24" s="94"/>
      <c r="B24" s="95"/>
      <c r="C24" s="96"/>
      <c r="D24" s="96"/>
      <c r="E24" s="96"/>
      <c r="F24" s="96"/>
      <c r="G24" s="96"/>
      <c r="H24" s="96"/>
      <c r="I24" s="96"/>
      <c r="J24" s="96"/>
      <c r="K24" s="96"/>
      <c r="L24" s="96"/>
      <c r="M24" s="136"/>
      <c r="N24" s="215">
        <f t="shared" ref="N24:N37" si="0">SUM(C24:H24)</f>
        <v>0</v>
      </c>
      <c r="Z24" s="215" t="str">
        <f>IF(AG24&lt;15,"","＊1")</f>
        <v/>
      </c>
      <c r="AA24" s="29" t="s">
        <v>12</v>
      </c>
      <c r="AB24" s="25"/>
      <c r="AC24" s="25"/>
      <c r="AD24" s="25"/>
      <c r="AE24" s="212">
        <f>$K$104</f>
        <v>2.4500000000000002</v>
      </c>
      <c r="AF24" s="163"/>
      <c r="AG24" s="212">
        <f>ROUND(($AG$13*AE24)/100,2)</f>
        <v>2.4300000000000002</v>
      </c>
      <c r="AH24" s="25" t="s">
        <v>59</v>
      </c>
      <c r="AI24" s="33"/>
      <c r="AJ24" s="30"/>
      <c r="AK24" s="93">
        <v>2</v>
      </c>
    </row>
    <row r="25" spans="1:41" ht="22.7" customHeight="1" x14ac:dyDescent="0.25">
      <c r="A25" s="94"/>
      <c r="B25" s="95"/>
      <c r="C25" s="96"/>
      <c r="D25" s="96"/>
      <c r="E25" s="96"/>
      <c r="F25" s="96"/>
      <c r="G25" s="96"/>
      <c r="H25" s="96"/>
      <c r="I25" s="96"/>
      <c r="J25" s="96"/>
      <c r="K25" s="96"/>
      <c r="L25" s="96"/>
      <c r="M25" s="136"/>
      <c r="N25" s="215">
        <f t="shared" si="0"/>
        <v>0</v>
      </c>
      <c r="Z25" s="215" t="str">
        <f>IF(OR(AND(AE25&gt;=0.3,AG25*VALUE(F6)&gt;=0.45),AE25&gt;=0.45,AND(AG13&gt;=100,AG25*VALUE(F6)&gt;=0.45)),"＊2","")</f>
        <v/>
      </c>
      <c r="AA25" s="29" t="s">
        <v>28</v>
      </c>
      <c r="AB25" s="25"/>
      <c r="AC25" s="25"/>
      <c r="AD25" s="25"/>
      <c r="AE25" s="212">
        <f>$J$104</f>
        <v>0.14000000000000001</v>
      </c>
      <c r="AF25" s="43"/>
      <c r="AG25" s="212">
        <f>ROUND(($AG$13*AE25)/100,2)</f>
        <v>0.14000000000000001</v>
      </c>
      <c r="AH25" s="25" t="s">
        <v>59</v>
      </c>
      <c r="AI25" s="33"/>
      <c r="AJ25" s="30"/>
      <c r="AK25" s="93">
        <v>2</v>
      </c>
    </row>
    <row r="26" spans="1:41" ht="22.5" x14ac:dyDescent="0.25">
      <c r="A26" s="94"/>
      <c r="B26" s="95"/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136"/>
      <c r="N26" s="215">
        <f t="shared" si="0"/>
        <v>0</v>
      </c>
      <c r="AA26" s="29" t="s">
        <v>29</v>
      </c>
      <c r="AB26" s="25"/>
      <c r="AC26" s="25"/>
      <c r="AD26" s="25"/>
      <c r="AE26" s="218">
        <f>$L$104</f>
        <v>92</v>
      </c>
      <c r="AF26" s="43"/>
      <c r="AG26" s="214">
        <f>ROUND(($AG$13*AE26)/100,0)</f>
        <v>91</v>
      </c>
      <c r="AH26" s="25" t="s">
        <v>60</v>
      </c>
      <c r="AI26" s="33"/>
      <c r="AJ26" s="30"/>
      <c r="AK26" s="93">
        <v>0</v>
      </c>
    </row>
    <row r="27" spans="1:41" x14ac:dyDescent="0.2">
      <c r="A27" s="94"/>
      <c r="B27" s="95"/>
      <c r="C27" s="96"/>
      <c r="D27" s="96"/>
      <c r="E27" s="96"/>
      <c r="F27" s="96"/>
      <c r="G27" s="96"/>
      <c r="H27" s="96"/>
      <c r="I27" s="96"/>
      <c r="J27" s="96"/>
      <c r="K27" s="96"/>
      <c r="L27" s="96"/>
      <c r="M27" s="136"/>
      <c r="N27" s="215">
        <f t="shared" si="0"/>
        <v>0</v>
      </c>
    </row>
    <row r="28" spans="1:41" x14ac:dyDescent="0.2">
      <c r="A28" s="94"/>
      <c r="B28" s="95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136"/>
      <c r="N28" s="215">
        <f t="shared" si="0"/>
        <v>0</v>
      </c>
    </row>
    <row r="29" spans="1:41" x14ac:dyDescent="0.2">
      <c r="A29" s="94"/>
      <c r="B29" s="95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136"/>
      <c r="N29" s="215">
        <f t="shared" si="0"/>
        <v>0</v>
      </c>
    </row>
    <row r="30" spans="1:41" x14ac:dyDescent="0.2">
      <c r="A30" s="94"/>
      <c r="B30" s="95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136"/>
      <c r="N30" s="215">
        <f t="shared" si="0"/>
        <v>0</v>
      </c>
    </row>
    <row r="31" spans="1:41" ht="21" x14ac:dyDescent="0.2">
      <c r="A31" s="94"/>
      <c r="B31" s="95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136"/>
      <c r="N31" s="215">
        <f t="shared" si="0"/>
        <v>0</v>
      </c>
      <c r="V31" s="47"/>
      <c r="W31" s="47"/>
      <c r="AA31" s="193" t="s">
        <v>64</v>
      </c>
      <c r="AB31" s="193"/>
      <c r="AC31" s="193"/>
      <c r="AD31" s="193"/>
      <c r="AE31" s="193"/>
      <c r="AF31" s="193"/>
      <c r="AG31" s="193"/>
      <c r="AH31" s="193"/>
      <c r="AI31" s="193"/>
      <c r="AJ31" s="193"/>
    </row>
    <row r="32" spans="1:41" x14ac:dyDescent="0.2">
      <c r="A32" s="94"/>
      <c r="B32" s="95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136"/>
      <c r="N32" s="215">
        <f t="shared" si="0"/>
        <v>0</v>
      </c>
      <c r="V32" s="47"/>
      <c r="W32" s="47"/>
      <c r="AA32" s="44"/>
      <c r="AB32" s="5"/>
      <c r="AC32" s="5"/>
      <c r="AD32" s="5"/>
      <c r="AE32" s="5"/>
      <c r="AF32" s="5"/>
      <c r="AG32" s="5"/>
      <c r="AH32" s="5"/>
      <c r="AI32" s="5"/>
      <c r="AJ32" s="5"/>
      <c r="AL32" s="45"/>
      <c r="AM32" s="45"/>
      <c r="AN32" s="46"/>
      <c r="AO32" s="47"/>
    </row>
    <row r="33" spans="1:41" x14ac:dyDescent="0.2">
      <c r="A33" s="94"/>
      <c r="B33" s="95"/>
      <c r="C33" s="96"/>
      <c r="D33" s="96"/>
      <c r="E33" s="96"/>
      <c r="F33" s="96"/>
      <c r="G33" s="96"/>
      <c r="H33" s="96"/>
      <c r="I33" s="96"/>
      <c r="J33" s="96"/>
      <c r="K33" s="96"/>
      <c r="L33" s="96"/>
      <c r="M33" s="136"/>
      <c r="N33" s="215">
        <f t="shared" si="0"/>
        <v>0</v>
      </c>
      <c r="V33" s="47"/>
      <c r="W33" s="47"/>
      <c r="AA33" s="44"/>
      <c r="AB33" s="5"/>
      <c r="AC33" s="5"/>
      <c r="AD33" s="5"/>
      <c r="AE33" s="5"/>
      <c r="AF33" s="5"/>
      <c r="AG33" s="5"/>
      <c r="AH33" s="5"/>
      <c r="AI33" s="5"/>
      <c r="AJ33" s="5"/>
      <c r="AL33" s="45"/>
      <c r="AM33" s="45"/>
      <c r="AN33" s="49"/>
      <c r="AO33" s="47"/>
    </row>
    <row r="34" spans="1:41" x14ac:dyDescent="0.2">
      <c r="A34" s="94"/>
      <c r="B34" s="95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136"/>
      <c r="N34" s="215">
        <f t="shared" si="0"/>
        <v>0</v>
      </c>
      <c r="V34" s="47"/>
      <c r="W34" s="47"/>
      <c r="AB34" s="5"/>
      <c r="AH34" s="5"/>
      <c r="AI34" s="5"/>
      <c r="AJ34" s="5"/>
      <c r="AL34" s="45"/>
      <c r="AM34" s="45"/>
      <c r="AN34" s="49"/>
      <c r="AO34" s="47"/>
    </row>
    <row r="35" spans="1:41" ht="21" x14ac:dyDescent="0.2">
      <c r="A35" s="94"/>
      <c r="B35" s="95"/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136"/>
      <c r="N35" s="215">
        <f t="shared" si="0"/>
        <v>0</v>
      </c>
      <c r="V35" s="47"/>
      <c r="W35" s="47"/>
      <c r="AA35" s="5"/>
      <c r="AB35" s="5"/>
      <c r="AC35" s="91" t="s">
        <v>30</v>
      </c>
      <c r="AD35" s="91"/>
      <c r="AE35" s="220">
        <f>B84</f>
        <v>0</v>
      </c>
      <c r="AF35" s="14" t="s">
        <v>31</v>
      </c>
      <c r="AG35" s="5"/>
      <c r="AH35" s="5"/>
      <c r="AI35" s="5"/>
      <c r="AJ35" s="5"/>
      <c r="AK35" s="58"/>
      <c r="AL35" s="45"/>
      <c r="AM35" s="45"/>
      <c r="AN35" s="49"/>
      <c r="AO35" s="47"/>
    </row>
    <row r="36" spans="1:41" x14ac:dyDescent="0.2">
      <c r="A36" s="94"/>
      <c r="B36" s="95"/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136"/>
      <c r="N36" s="215">
        <f t="shared" si="0"/>
        <v>0</v>
      </c>
      <c r="R36" s="47"/>
      <c r="V36" s="47"/>
      <c r="W36" s="47"/>
      <c r="AA36" s="221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45"/>
      <c r="AC36" s="52"/>
      <c r="AD36" s="47"/>
      <c r="AE36" s="5"/>
      <c r="AF36" s="5"/>
      <c r="AG36" s="5"/>
      <c r="AK36" s="59"/>
      <c r="AL36" s="45"/>
      <c r="AM36" s="45"/>
      <c r="AN36" s="52"/>
      <c r="AO36" s="47"/>
    </row>
    <row r="37" spans="1:41" x14ac:dyDescent="0.2">
      <c r="A37" s="94" t="s">
        <v>94</v>
      </c>
      <c r="B37" s="95">
        <v>10</v>
      </c>
      <c r="C37" s="96">
        <v>100</v>
      </c>
      <c r="D37" s="96"/>
      <c r="E37" s="96"/>
      <c r="F37" s="96"/>
      <c r="G37" s="96"/>
      <c r="H37" s="96"/>
      <c r="I37" s="96"/>
      <c r="J37" s="96"/>
      <c r="K37" s="96"/>
      <c r="L37" s="96"/>
      <c r="M37" s="136"/>
      <c r="N37" s="215">
        <f t="shared" si="0"/>
        <v>100</v>
      </c>
      <c r="R37" s="47"/>
      <c r="V37" s="47"/>
      <c r="W37" s="47"/>
      <c r="AA37" s="222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45"/>
      <c r="AC37" s="49"/>
      <c r="AD37" s="47"/>
      <c r="AE37" s="5"/>
      <c r="AF37" s="5"/>
      <c r="AG37" s="5"/>
      <c r="AL37" s="45"/>
      <c r="AM37" s="45"/>
      <c r="AN37" s="49"/>
      <c r="AO37" s="47"/>
    </row>
    <row r="38" spans="1:41" x14ac:dyDescent="0.2">
      <c r="A38" s="6"/>
      <c r="B38" s="6"/>
      <c r="C38" s="6"/>
      <c r="D38" s="6"/>
      <c r="E38" s="6"/>
      <c r="F38" s="6"/>
      <c r="G38" s="6"/>
      <c r="H38" s="6"/>
      <c r="I38" s="34"/>
      <c r="J38" s="6"/>
      <c r="K38" s="6"/>
      <c r="L38" s="35"/>
      <c r="M38" s="127"/>
      <c r="N38" s="92"/>
      <c r="R38" s="47"/>
      <c r="V38" s="47"/>
      <c r="W38" s="47"/>
      <c r="AA38" s="221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45"/>
      <c r="AC38" s="49"/>
      <c r="AD38" s="47"/>
      <c r="AL38" s="45"/>
      <c r="AM38" s="45"/>
      <c r="AN38" s="49"/>
      <c r="AO38" s="47"/>
    </row>
    <row r="39" spans="1:41" x14ac:dyDescent="0.2">
      <c r="A39" s="147" t="s">
        <v>24</v>
      </c>
      <c r="B39" s="147" t="s">
        <v>19</v>
      </c>
      <c r="C39" s="147" t="s">
        <v>4</v>
      </c>
      <c r="D39" s="147" t="s">
        <v>5</v>
      </c>
      <c r="E39" s="147" t="s">
        <v>6</v>
      </c>
      <c r="F39" s="147" t="s">
        <v>7</v>
      </c>
      <c r="G39" s="147" t="s">
        <v>8</v>
      </c>
      <c r="H39" s="147" t="s">
        <v>9</v>
      </c>
      <c r="I39" s="148" t="s">
        <v>25</v>
      </c>
      <c r="J39" s="149" t="s">
        <v>69</v>
      </c>
      <c r="K39" s="150" t="s">
        <v>70</v>
      </c>
      <c r="L39" s="151" t="s">
        <v>48</v>
      </c>
      <c r="M39" s="223" t="str">
        <f>M7</f>
        <v>カルシウム</v>
      </c>
      <c r="Q39" s="46"/>
      <c r="R39" s="47"/>
      <c r="AA39" s="45"/>
      <c r="AB39" s="45"/>
      <c r="AC39" s="52"/>
      <c r="AD39" s="47"/>
      <c r="AL39" s="45"/>
      <c r="AM39" s="45"/>
      <c r="AN39" s="52"/>
      <c r="AO39" s="47"/>
    </row>
    <row r="40" spans="1:41" x14ac:dyDescent="0.2">
      <c r="A40" s="31" t="s">
        <v>27</v>
      </c>
      <c r="B40" s="185">
        <v>99</v>
      </c>
      <c r="C40" s="41"/>
      <c r="D40" s="41"/>
      <c r="E40" s="41"/>
      <c r="F40" s="41"/>
      <c r="G40" s="41"/>
      <c r="H40" s="41"/>
      <c r="I40" s="42"/>
      <c r="J40" s="32"/>
      <c r="K40" s="84"/>
      <c r="L40" s="13"/>
      <c r="M40" s="138"/>
      <c r="N40" s="215">
        <f t="shared" ref="N40:N49" si="1">SUM(C40:H40)</f>
        <v>0</v>
      </c>
      <c r="Q40" s="49"/>
      <c r="R40" s="47"/>
      <c r="AA40" s="57"/>
    </row>
    <row r="41" spans="1:41" x14ac:dyDescent="0.2">
      <c r="A41" s="94"/>
      <c r="B41" s="95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136"/>
      <c r="N41" s="215">
        <f t="shared" si="1"/>
        <v>0</v>
      </c>
      <c r="P41" s="45"/>
      <c r="Q41" s="49"/>
      <c r="R41" s="47"/>
      <c r="AA41" s="57"/>
      <c r="AI41" s="58"/>
      <c r="AJ41" s="58"/>
    </row>
    <row r="42" spans="1:41" x14ac:dyDescent="0.2">
      <c r="A42" s="94"/>
      <c r="B42" s="95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136"/>
      <c r="N42" s="215">
        <f t="shared" si="1"/>
        <v>0</v>
      </c>
      <c r="P42" s="45"/>
      <c r="Q42" s="49"/>
      <c r="R42" s="47"/>
      <c r="AA42" s="57"/>
      <c r="AI42" s="58"/>
      <c r="AJ42" s="58"/>
    </row>
    <row r="43" spans="1:41" x14ac:dyDescent="0.2">
      <c r="A43" s="156"/>
      <c r="B43" s="168"/>
      <c r="C43" s="157"/>
      <c r="D43" s="157"/>
      <c r="E43" s="157"/>
      <c r="F43" s="157"/>
      <c r="G43" s="157"/>
      <c r="H43" s="157"/>
      <c r="I43" s="157"/>
      <c r="J43" s="158"/>
      <c r="K43" s="159"/>
      <c r="L43" s="157"/>
      <c r="M43" s="136"/>
      <c r="N43" s="215">
        <f t="shared" si="1"/>
        <v>0</v>
      </c>
      <c r="O43" s="45"/>
      <c r="P43" s="45"/>
      <c r="Q43" s="52"/>
      <c r="R43" s="47"/>
      <c r="AC43" s="58"/>
      <c r="AD43" s="58"/>
      <c r="AI43" s="59"/>
      <c r="AJ43" s="59"/>
    </row>
    <row r="44" spans="1:41" x14ac:dyDescent="0.2">
      <c r="A44" s="94"/>
      <c r="B44" s="160"/>
      <c r="C44" s="96"/>
      <c r="D44" s="96"/>
      <c r="E44" s="96"/>
      <c r="F44" s="96"/>
      <c r="G44" s="96"/>
      <c r="H44" s="96"/>
      <c r="I44" s="96"/>
      <c r="J44" s="96"/>
      <c r="K44" s="96"/>
      <c r="L44" s="137"/>
      <c r="M44" s="136"/>
      <c r="N44" s="215">
        <f t="shared" si="1"/>
        <v>0</v>
      </c>
      <c r="O44" s="45"/>
      <c r="P44" s="45"/>
      <c r="Q44" s="49"/>
      <c r="AC44" s="59"/>
      <c r="AD44" s="59"/>
    </row>
    <row r="45" spans="1:41" x14ac:dyDescent="0.2">
      <c r="A45" s="94"/>
      <c r="B45" s="160"/>
      <c r="C45" s="96"/>
      <c r="D45" s="96"/>
      <c r="E45" s="96"/>
      <c r="F45" s="96"/>
      <c r="G45" s="96"/>
      <c r="H45" s="96"/>
      <c r="I45" s="96"/>
      <c r="J45" s="96"/>
      <c r="K45" s="96"/>
      <c r="L45" s="137"/>
      <c r="M45" s="136"/>
      <c r="N45" s="215">
        <f t="shared" si="1"/>
        <v>0</v>
      </c>
      <c r="O45" s="45"/>
      <c r="P45" s="45"/>
      <c r="Q45" s="49"/>
    </row>
    <row r="46" spans="1:41" x14ac:dyDescent="0.2">
      <c r="A46" s="94"/>
      <c r="B46" s="160"/>
      <c r="C46" s="96"/>
      <c r="D46" s="96"/>
      <c r="E46" s="96"/>
      <c r="F46" s="96"/>
      <c r="G46" s="96"/>
      <c r="H46" s="96"/>
      <c r="I46" s="96"/>
      <c r="J46" s="96"/>
      <c r="K46" s="96"/>
      <c r="L46" s="137"/>
      <c r="M46" s="136"/>
      <c r="N46" s="215">
        <f t="shared" si="1"/>
        <v>0</v>
      </c>
      <c r="O46" s="45"/>
      <c r="P46" s="45"/>
      <c r="Q46" s="52"/>
      <c r="AC46" s="58"/>
      <c r="AD46" s="58"/>
    </row>
    <row r="47" spans="1:41" x14ac:dyDescent="0.2">
      <c r="A47" s="94"/>
      <c r="B47" s="160"/>
      <c r="C47" s="96"/>
      <c r="D47" s="96"/>
      <c r="E47" s="96"/>
      <c r="F47" s="96"/>
      <c r="G47" s="96"/>
      <c r="H47" s="96"/>
      <c r="I47" s="96"/>
      <c r="J47" s="96"/>
      <c r="K47" s="96"/>
      <c r="L47" s="137"/>
      <c r="M47" s="136"/>
      <c r="N47" s="215">
        <f t="shared" si="1"/>
        <v>0</v>
      </c>
      <c r="O47" s="45"/>
      <c r="P47" s="45"/>
      <c r="AC47" s="59"/>
      <c r="AD47" s="59"/>
    </row>
    <row r="48" spans="1:41" x14ac:dyDescent="0.2">
      <c r="A48" s="94"/>
      <c r="B48" s="160"/>
      <c r="C48" s="96"/>
      <c r="D48" s="96"/>
      <c r="E48" s="96"/>
      <c r="F48" s="96"/>
      <c r="G48" s="96"/>
      <c r="H48" s="96"/>
      <c r="I48" s="96"/>
      <c r="J48" s="96"/>
      <c r="K48" s="96"/>
      <c r="L48" s="137"/>
      <c r="M48" s="136"/>
      <c r="N48" s="215">
        <f t="shared" si="1"/>
        <v>0</v>
      </c>
      <c r="O48" s="45"/>
      <c r="P48" s="45"/>
    </row>
    <row r="49" spans="1:33" x14ac:dyDescent="0.2">
      <c r="A49" s="94"/>
      <c r="B49" s="160"/>
      <c r="C49" s="96"/>
      <c r="D49" s="96"/>
      <c r="E49" s="96"/>
      <c r="F49" s="96"/>
      <c r="G49" s="96"/>
      <c r="H49" s="96"/>
      <c r="I49" s="96"/>
      <c r="J49" s="96"/>
      <c r="K49" s="96"/>
      <c r="L49" s="137"/>
      <c r="M49" s="136"/>
      <c r="N49" s="215">
        <f t="shared" si="1"/>
        <v>0</v>
      </c>
      <c r="O49" s="45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0"/>
      <c r="J50" s="7"/>
      <c r="K50" s="7"/>
      <c r="L50" s="51"/>
      <c r="M50" s="135"/>
      <c r="O50" s="45"/>
    </row>
    <row r="51" spans="1:33" x14ac:dyDescent="0.2">
      <c r="A51" s="53" t="s">
        <v>32</v>
      </c>
      <c r="B51" s="6"/>
      <c r="C51" s="53" t="s">
        <v>32</v>
      </c>
      <c r="D51" s="53" t="s">
        <v>32</v>
      </c>
      <c r="E51" s="6"/>
      <c r="F51" s="6"/>
      <c r="G51" s="6"/>
      <c r="H51" s="6"/>
      <c r="I51" s="34"/>
      <c r="J51" s="6"/>
      <c r="K51" s="6"/>
      <c r="L51" s="54"/>
      <c r="M51" s="134"/>
    </row>
    <row r="52" spans="1:33" x14ac:dyDescent="0.2">
      <c r="A52" s="9" t="s">
        <v>2</v>
      </c>
      <c r="B52" s="9" t="s">
        <v>33</v>
      </c>
      <c r="C52" s="9" t="s">
        <v>4</v>
      </c>
      <c r="D52" s="9" t="s">
        <v>5</v>
      </c>
      <c r="E52" s="9" t="s">
        <v>6</v>
      </c>
      <c r="F52" s="9" t="s">
        <v>7</v>
      </c>
      <c r="G52" s="9" t="s">
        <v>8</v>
      </c>
      <c r="H52" s="9" t="s">
        <v>9</v>
      </c>
      <c r="I52" s="10" t="s">
        <v>25</v>
      </c>
      <c r="J52" s="11" t="s">
        <v>11</v>
      </c>
      <c r="K52" s="12" t="s">
        <v>12</v>
      </c>
      <c r="L52" s="126" t="s">
        <v>13</v>
      </c>
      <c r="M52" s="223" t="str">
        <f>M7</f>
        <v>カルシウム</v>
      </c>
    </row>
    <row r="53" spans="1:33" x14ac:dyDescent="0.2">
      <c r="A53" s="231" t="str">
        <f>IF(A8="","",A8)</f>
        <v>KH1 上白糖</v>
      </c>
      <c r="B53" s="224">
        <f>IF(B8="","",B8)</f>
        <v>120</v>
      </c>
      <c r="C53" s="225">
        <f t="shared" ref="C53:C82" si="2">C8*B53/100</f>
        <v>0.84</v>
      </c>
      <c r="D53" s="225">
        <f t="shared" ref="D53:D82" si="3">D8*B53/100</f>
        <v>0</v>
      </c>
      <c r="E53" s="225">
        <f t="shared" ref="E53:E82" si="4">E8*B53/100</f>
        <v>0</v>
      </c>
      <c r="F53" s="225">
        <f t="shared" ref="F53:F82" si="5">F8*B53/100</f>
        <v>119.16</v>
      </c>
      <c r="G53" s="225">
        <f t="shared" ref="G53:G82" si="6">G8*B53/100</f>
        <v>0</v>
      </c>
      <c r="H53" s="225">
        <f t="shared" ref="H53:H82" si="7">H8*B53/100</f>
        <v>0</v>
      </c>
      <c r="I53" s="226">
        <f t="shared" ref="I53:I82" si="8">I8*B53/100</f>
        <v>1.2</v>
      </c>
      <c r="J53" s="226">
        <f t="shared" ref="J53:J82" si="9">J8*B53/100</f>
        <v>0</v>
      </c>
      <c r="K53" s="226">
        <f t="shared" ref="K53:K82" si="10">K8*B53/100</f>
        <v>0</v>
      </c>
      <c r="L53" s="227">
        <f t="shared" ref="L53:L82" si="11">L8*B53/100</f>
        <v>0</v>
      </c>
      <c r="M53" s="228">
        <f t="shared" ref="M53:M82" si="12">M8*B53/100</f>
        <v>1.2</v>
      </c>
    </row>
    <row r="54" spans="1:33" x14ac:dyDescent="0.2">
      <c r="A54" s="231" t="str">
        <f t="shared" ref="A54:B69" si="13">IF(A9="","",A9)</f>
        <v>ﾇｰﾎﾞﾘｰﾑYK-29</v>
      </c>
      <c r="B54" s="224">
        <f t="shared" si="13"/>
        <v>30</v>
      </c>
      <c r="C54" s="225">
        <f t="shared" si="2"/>
        <v>11.37</v>
      </c>
      <c r="D54" s="225">
        <f t="shared" si="3"/>
        <v>0.54</v>
      </c>
      <c r="E54" s="225">
        <f t="shared" si="4"/>
        <v>0.51</v>
      </c>
      <c r="F54" s="225">
        <f t="shared" si="5"/>
        <v>17.52</v>
      </c>
      <c r="G54" s="225">
        <f t="shared" si="6"/>
        <v>0.03</v>
      </c>
      <c r="H54" s="225">
        <f t="shared" si="7"/>
        <v>0.03</v>
      </c>
      <c r="I54" s="226">
        <f t="shared" si="8"/>
        <v>8.6999999999999993</v>
      </c>
      <c r="J54" s="226">
        <f t="shared" si="9"/>
        <v>6.0000000000000001E-3</v>
      </c>
      <c r="K54" s="226">
        <f t="shared" si="10"/>
        <v>3.5999999999999997E-2</v>
      </c>
      <c r="L54" s="227">
        <f t="shared" si="11"/>
        <v>0</v>
      </c>
      <c r="M54" s="228">
        <f t="shared" si="12"/>
        <v>0</v>
      </c>
    </row>
    <row r="55" spans="1:33" x14ac:dyDescent="0.2">
      <c r="A55" s="231" t="str">
        <f t="shared" si="13"/>
        <v>ｺｰﾝｼｭｶﾞｰA-30(ﾛｰﾘｰ)</v>
      </c>
      <c r="B55" s="224">
        <f t="shared" si="13"/>
        <v>20</v>
      </c>
      <c r="C55" s="225">
        <f t="shared" si="2"/>
        <v>4.9000000000000004</v>
      </c>
      <c r="D55" s="225">
        <f t="shared" si="3"/>
        <v>0</v>
      </c>
      <c r="E55" s="225">
        <f t="shared" si="4"/>
        <v>0</v>
      </c>
      <c r="F55" s="225">
        <f t="shared" si="5"/>
        <v>15.1</v>
      </c>
      <c r="G55" s="225">
        <f t="shared" si="6"/>
        <v>0</v>
      </c>
      <c r="H55" s="225">
        <f t="shared" si="7"/>
        <v>0</v>
      </c>
      <c r="I55" s="226">
        <f t="shared" si="8"/>
        <v>0</v>
      </c>
      <c r="J55" s="226">
        <f t="shared" si="9"/>
        <v>0</v>
      </c>
      <c r="K55" s="226">
        <f t="shared" si="10"/>
        <v>0</v>
      </c>
      <c r="L55" s="227">
        <f t="shared" si="11"/>
        <v>0</v>
      </c>
      <c r="M55" s="228">
        <f t="shared" si="12"/>
        <v>0</v>
      </c>
      <c r="AA55" s="87"/>
    </row>
    <row r="56" spans="1:33" x14ac:dyDescent="0.2">
      <c r="A56" s="231" t="str">
        <f t="shared" si="13"/>
        <v>全卵/生</v>
      </c>
      <c r="B56" s="224">
        <f t="shared" si="13"/>
        <v>120</v>
      </c>
      <c r="C56" s="225">
        <f t="shared" si="2"/>
        <v>90</v>
      </c>
      <c r="D56" s="225">
        <f t="shared" si="3"/>
        <v>14.64</v>
      </c>
      <c r="E56" s="225">
        <f t="shared" si="4"/>
        <v>12.24</v>
      </c>
      <c r="F56" s="225">
        <f t="shared" si="5"/>
        <v>0.48</v>
      </c>
      <c r="G56" s="225">
        <f t="shared" si="6"/>
        <v>0</v>
      </c>
      <c r="H56" s="225">
        <f t="shared" si="7"/>
        <v>1.2</v>
      </c>
      <c r="I56" s="226">
        <f t="shared" si="8"/>
        <v>168</v>
      </c>
      <c r="J56" s="226">
        <f t="shared" si="9"/>
        <v>0</v>
      </c>
      <c r="K56" s="226">
        <f t="shared" si="10"/>
        <v>3.7440000000000002</v>
      </c>
      <c r="L56" s="227">
        <f t="shared" si="11"/>
        <v>444</v>
      </c>
      <c r="M56" s="228">
        <f t="shared" si="12"/>
        <v>55.2</v>
      </c>
      <c r="AA56" s="87"/>
    </row>
    <row r="57" spans="1:33" x14ac:dyDescent="0.2">
      <c r="A57" s="231" t="str">
        <f t="shared" si="13"/>
        <v>白雪(青)</v>
      </c>
      <c r="B57" s="224">
        <f t="shared" si="13"/>
        <v>40</v>
      </c>
      <c r="C57" s="225">
        <f t="shared" si="2"/>
        <v>4.8</v>
      </c>
      <c r="D57" s="225">
        <f t="shared" si="3"/>
        <v>0.08</v>
      </c>
      <c r="E57" s="225">
        <f t="shared" si="4"/>
        <v>0</v>
      </c>
      <c r="F57" s="225">
        <f t="shared" si="5"/>
        <v>34.479999999999997</v>
      </c>
      <c r="G57" s="225">
        <f t="shared" si="6"/>
        <v>0.56000000000000005</v>
      </c>
      <c r="H57" s="225">
        <f t="shared" si="7"/>
        <v>0.08</v>
      </c>
      <c r="I57" s="226">
        <f t="shared" si="8"/>
        <v>2.8</v>
      </c>
      <c r="J57" s="226">
        <f t="shared" si="9"/>
        <v>0</v>
      </c>
      <c r="K57" s="226">
        <f t="shared" si="10"/>
        <v>7.1999999999999995E-2</v>
      </c>
      <c r="L57" s="227">
        <f t="shared" si="11"/>
        <v>0</v>
      </c>
      <c r="M57" s="228">
        <f t="shared" si="12"/>
        <v>0</v>
      </c>
    </row>
    <row r="58" spans="1:33" x14ac:dyDescent="0.2">
      <c r="A58" s="231" t="str">
        <f t="shared" si="13"/>
        <v>ﾌｼﾞ薄力粉</v>
      </c>
      <c r="B58" s="224">
        <f t="shared" si="13"/>
        <v>5</v>
      </c>
      <c r="C58" s="225">
        <f t="shared" si="2"/>
        <v>0.71</v>
      </c>
      <c r="D58" s="225">
        <f t="shared" si="3"/>
        <v>0.41499999999999998</v>
      </c>
      <c r="E58" s="225">
        <f t="shared" si="4"/>
        <v>7.4999999999999997E-2</v>
      </c>
      <c r="F58" s="225">
        <f t="shared" si="5"/>
        <v>3.6564999999999999</v>
      </c>
      <c r="G58" s="225">
        <f t="shared" si="6"/>
        <v>0.125</v>
      </c>
      <c r="H58" s="225">
        <f t="shared" si="7"/>
        <v>1.8500000000000003E-2</v>
      </c>
      <c r="I58" s="226">
        <f t="shared" si="8"/>
        <v>0</v>
      </c>
      <c r="J58" s="226">
        <f t="shared" si="9"/>
        <v>0</v>
      </c>
      <c r="K58" s="226">
        <f t="shared" si="10"/>
        <v>1.7000000000000001E-2</v>
      </c>
      <c r="L58" s="227">
        <f t="shared" si="11"/>
        <v>0</v>
      </c>
      <c r="M58" s="228">
        <f t="shared" si="12"/>
        <v>1</v>
      </c>
    </row>
    <row r="59" spans="1:33" x14ac:dyDescent="0.2">
      <c r="A59" s="231" t="str">
        <f t="shared" si="13"/>
        <v>ﾌｰﾄﾞｽﾀｰﾁTB</v>
      </c>
      <c r="B59" s="224">
        <f t="shared" si="13"/>
        <v>5</v>
      </c>
      <c r="C59" s="225">
        <f t="shared" si="2"/>
        <v>0.71</v>
      </c>
      <c r="D59" s="225">
        <f t="shared" si="3"/>
        <v>5.0000000000000001E-3</v>
      </c>
      <c r="E59" s="225">
        <f t="shared" si="4"/>
        <v>0.01</v>
      </c>
      <c r="F59" s="225">
        <f t="shared" si="5"/>
        <v>4.2649999999999997</v>
      </c>
      <c r="G59" s="225">
        <f t="shared" si="6"/>
        <v>0</v>
      </c>
      <c r="H59" s="225">
        <f t="shared" si="7"/>
        <v>0.01</v>
      </c>
      <c r="I59" s="226">
        <f t="shared" si="8"/>
        <v>2.95</v>
      </c>
      <c r="J59" s="226">
        <f t="shared" si="9"/>
        <v>0</v>
      </c>
      <c r="K59" s="226">
        <f t="shared" si="10"/>
        <v>1E-3</v>
      </c>
      <c r="L59" s="227">
        <f t="shared" si="11"/>
        <v>0</v>
      </c>
      <c r="M59" s="228">
        <f t="shared" si="12"/>
        <v>0</v>
      </c>
    </row>
    <row r="60" spans="1:33" x14ac:dyDescent="0.2">
      <c r="A60" s="231" t="str">
        <f t="shared" si="13"/>
        <v>ﾌｼﾞ薄力粉</v>
      </c>
      <c r="B60" s="224">
        <f t="shared" si="13"/>
        <v>50</v>
      </c>
      <c r="C60" s="225">
        <f t="shared" si="2"/>
        <v>7.1</v>
      </c>
      <c r="D60" s="225">
        <f t="shared" si="3"/>
        <v>4.1500000000000004</v>
      </c>
      <c r="E60" s="225">
        <f t="shared" si="4"/>
        <v>0.75</v>
      </c>
      <c r="F60" s="225">
        <f t="shared" si="5"/>
        <v>36.564999999999998</v>
      </c>
      <c r="G60" s="225">
        <f t="shared" si="6"/>
        <v>1.25</v>
      </c>
      <c r="H60" s="225">
        <f t="shared" si="7"/>
        <v>0.185</v>
      </c>
      <c r="I60" s="226">
        <f t="shared" si="8"/>
        <v>0</v>
      </c>
      <c r="J60" s="226">
        <f t="shared" si="9"/>
        <v>0</v>
      </c>
      <c r="K60" s="226">
        <f t="shared" si="10"/>
        <v>0.17</v>
      </c>
      <c r="L60" s="227">
        <f t="shared" si="11"/>
        <v>0</v>
      </c>
      <c r="M60" s="228">
        <f t="shared" si="12"/>
        <v>0</v>
      </c>
    </row>
    <row r="61" spans="1:33" x14ac:dyDescent="0.2">
      <c r="A61" s="231" t="str">
        <f t="shared" si="13"/>
        <v>ﾍﾞｰｷﾝｸﾞﾊﾟｳﾀﾞｰ蒸しﾊﾟﾝ用#1</v>
      </c>
      <c r="B61" s="224">
        <f t="shared" si="13"/>
        <v>3</v>
      </c>
      <c r="C61" s="225">
        <f t="shared" si="2"/>
        <v>1.2000000000000002E-2</v>
      </c>
      <c r="D61" s="225">
        <f t="shared" si="3"/>
        <v>0</v>
      </c>
      <c r="E61" s="225">
        <f t="shared" si="4"/>
        <v>3.0000000000000005E-3</v>
      </c>
      <c r="F61" s="225">
        <f t="shared" si="5"/>
        <v>1.0589999999999999</v>
      </c>
      <c r="G61" s="225">
        <f t="shared" si="6"/>
        <v>0</v>
      </c>
      <c r="H61" s="225">
        <f t="shared" si="7"/>
        <v>1.9260000000000002</v>
      </c>
      <c r="I61" s="226">
        <f t="shared" si="8"/>
        <v>430.35</v>
      </c>
      <c r="J61" s="226">
        <f t="shared" si="9"/>
        <v>0</v>
      </c>
      <c r="K61" s="226">
        <f t="shared" si="10"/>
        <v>1.1999999999999999E-3</v>
      </c>
      <c r="L61" s="227">
        <f t="shared" si="11"/>
        <v>0</v>
      </c>
      <c r="M61" s="228">
        <f t="shared" si="12"/>
        <v>0</v>
      </c>
    </row>
    <row r="62" spans="1:33" x14ac:dyDescent="0.2">
      <c r="A62" s="231" t="str">
        <f t="shared" si="13"/>
        <v>ﾌﾟﾗｽﾀｲﾑNE-300MC</v>
      </c>
      <c r="B62" s="224">
        <f t="shared" si="13"/>
        <v>4</v>
      </c>
      <c r="C62" s="225">
        <f t="shared" si="2"/>
        <v>8.0000000000000002E-3</v>
      </c>
      <c r="D62" s="225">
        <f t="shared" si="3"/>
        <v>2.2840000000000003</v>
      </c>
      <c r="E62" s="225">
        <f t="shared" si="4"/>
        <v>2.7999999999999997E-2</v>
      </c>
      <c r="F62" s="225">
        <f t="shared" si="5"/>
        <v>0.59200000000000008</v>
      </c>
      <c r="G62" s="225">
        <f t="shared" si="6"/>
        <v>0</v>
      </c>
      <c r="H62" s="225">
        <f t="shared" si="7"/>
        <v>1.0880000000000001</v>
      </c>
      <c r="I62" s="226">
        <f t="shared" si="8"/>
        <v>400</v>
      </c>
      <c r="J62" s="226">
        <f t="shared" si="9"/>
        <v>0</v>
      </c>
      <c r="K62" s="226">
        <f t="shared" si="10"/>
        <v>1.6E-2</v>
      </c>
      <c r="L62" s="227">
        <f t="shared" si="11"/>
        <v>0</v>
      </c>
      <c r="M62" s="228">
        <f t="shared" si="12"/>
        <v>0</v>
      </c>
      <c r="AA62" s="86" t="s">
        <v>42</v>
      </c>
    </row>
    <row r="63" spans="1:33" x14ac:dyDescent="0.2">
      <c r="A63" s="231" t="str">
        <f t="shared" si="13"/>
        <v>ｶﾙﾎｰﾌﾟ</v>
      </c>
      <c r="B63" s="224">
        <f t="shared" si="13"/>
        <v>3</v>
      </c>
      <c r="C63" s="225">
        <f t="shared" si="2"/>
        <v>8.9999999999999993E-3</v>
      </c>
      <c r="D63" s="225">
        <f t="shared" si="3"/>
        <v>6.3E-2</v>
      </c>
      <c r="E63" s="225">
        <f t="shared" si="4"/>
        <v>3.0000000000000005E-3</v>
      </c>
      <c r="F63" s="225">
        <f t="shared" si="5"/>
        <v>2.0999999999999998E-2</v>
      </c>
      <c r="G63" s="225">
        <f t="shared" si="6"/>
        <v>0</v>
      </c>
      <c r="H63" s="225">
        <f t="shared" si="7"/>
        <v>2.9039999999999999</v>
      </c>
      <c r="I63" s="226">
        <f t="shared" si="8"/>
        <v>2.2799999999999998</v>
      </c>
      <c r="J63" s="226">
        <f t="shared" si="9"/>
        <v>0</v>
      </c>
      <c r="K63" s="226">
        <f t="shared" si="10"/>
        <v>0</v>
      </c>
      <c r="L63" s="227">
        <f t="shared" si="11"/>
        <v>0.09</v>
      </c>
      <c r="M63" s="228">
        <f t="shared" si="12"/>
        <v>1140</v>
      </c>
      <c r="AA63" s="112" t="s">
        <v>52</v>
      </c>
    </row>
    <row r="64" spans="1:33" ht="18.75" x14ac:dyDescent="0.3">
      <c r="A64" s="231" t="str">
        <f t="shared" si="13"/>
        <v>鳴門食塩</v>
      </c>
      <c r="B64" s="224">
        <f t="shared" si="13"/>
        <v>1</v>
      </c>
      <c r="C64" s="225">
        <f t="shared" si="2"/>
        <v>1E-3</v>
      </c>
      <c r="D64" s="225">
        <f t="shared" si="3"/>
        <v>0</v>
      </c>
      <c r="E64" s="225">
        <f t="shared" si="4"/>
        <v>0</v>
      </c>
      <c r="F64" s="225">
        <f t="shared" si="5"/>
        <v>0</v>
      </c>
      <c r="G64" s="225">
        <f t="shared" si="6"/>
        <v>0</v>
      </c>
      <c r="H64" s="225">
        <f t="shared" si="7"/>
        <v>0.99900000000000011</v>
      </c>
      <c r="I64" s="226">
        <f t="shared" si="8"/>
        <v>390</v>
      </c>
      <c r="J64" s="226">
        <f t="shared" si="9"/>
        <v>0</v>
      </c>
      <c r="K64" s="226">
        <f t="shared" si="10"/>
        <v>0</v>
      </c>
      <c r="L64" s="227">
        <f t="shared" si="11"/>
        <v>0</v>
      </c>
      <c r="M64" s="228">
        <f t="shared" si="12"/>
        <v>0</v>
      </c>
      <c r="AA64" s="87" t="s">
        <v>53</v>
      </c>
      <c r="AC64" s="88"/>
      <c r="AE64" s="88"/>
      <c r="AF64" s="133"/>
      <c r="AG64" s="88"/>
    </row>
    <row r="65" spans="1:27" x14ac:dyDescent="0.2">
      <c r="A65" s="231" t="str">
        <f t="shared" si="13"/>
        <v>明治北海道牛乳10L(5L×2袋)</v>
      </c>
      <c r="B65" s="224">
        <f t="shared" si="13"/>
        <v>15</v>
      </c>
      <c r="C65" s="225">
        <f t="shared" si="2"/>
        <v>13.11</v>
      </c>
      <c r="D65" s="225">
        <f t="shared" si="3"/>
        <v>0.495</v>
      </c>
      <c r="E65" s="225">
        <f t="shared" si="4"/>
        <v>0.56999999999999995</v>
      </c>
      <c r="F65" s="225">
        <f t="shared" si="5"/>
        <v>0.72</v>
      </c>
      <c r="G65" s="225">
        <f t="shared" si="6"/>
        <v>0</v>
      </c>
      <c r="H65" s="225">
        <f t="shared" si="7"/>
        <v>0.105</v>
      </c>
      <c r="I65" s="226">
        <f t="shared" si="8"/>
        <v>6.15</v>
      </c>
      <c r="J65" s="226">
        <f t="shared" si="9"/>
        <v>2.1000000000000001E-2</v>
      </c>
      <c r="K65" s="226">
        <f t="shared" si="10"/>
        <v>0.34950000000000003</v>
      </c>
      <c r="L65" s="227">
        <f t="shared" si="11"/>
        <v>1.8</v>
      </c>
      <c r="M65" s="228">
        <f t="shared" si="12"/>
        <v>16.5</v>
      </c>
    </row>
    <row r="66" spans="1:27" x14ac:dyDescent="0.2">
      <c r="A66" s="231" t="str">
        <f t="shared" si="13"/>
        <v>ｼﾞｾﾙｶﾞﾄｰSC 16kg缶</v>
      </c>
      <c r="B66" s="224">
        <f t="shared" si="13"/>
        <v>50</v>
      </c>
      <c r="C66" s="225">
        <f t="shared" si="2"/>
        <v>0</v>
      </c>
      <c r="D66" s="225">
        <f t="shared" si="3"/>
        <v>0</v>
      </c>
      <c r="E66" s="225">
        <f t="shared" si="4"/>
        <v>50</v>
      </c>
      <c r="F66" s="225">
        <f t="shared" si="5"/>
        <v>0</v>
      </c>
      <c r="G66" s="225">
        <f t="shared" si="6"/>
        <v>0</v>
      </c>
      <c r="H66" s="225">
        <f t="shared" si="7"/>
        <v>0</v>
      </c>
      <c r="I66" s="226">
        <f t="shared" si="8"/>
        <v>0</v>
      </c>
      <c r="J66" s="226">
        <f t="shared" si="9"/>
        <v>0.65</v>
      </c>
      <c r="K66" s="226">
        <f t="shared" si="10"/>
        <v>7.45</v>
      </c>
      <c r="L66" s="227">
        <f t="shared" si="11"/>
        <v>0.5</v>
      </c>
      <c r="M66" s="228">
        <f t="shared" si="12"/>
        <v>0</v>
      </c>
    </row>
    <row r="67" spans="1:27" x14ac:dyDescent="0.2">
      <c r="A67" s="231" t="str">
        <f t="shared" si="13"/>
        <v/>
      </c>
      <c r="B67" s="224" t="str">
        <f t="shared" si="13"/>
        <v/>
      </c>
      <c r="C67" s="225">
        <f t="shared" si="2"/>
        <v>0</v>
      </c>
      <c r="D67" s="225">
        <f t="shared" si="3"/>
        <v>0</v>
      </c>
      <c r="E67" s="225">
        <f t="shared" si="4"/>
        <v>0</v>
      </c>
      <c r="F67" s="225">
        <f t="shared" si="5"/>
        <v>0</v>
      </c>
      <c r="G67" s="225">
        <f t="shared" si="6"/>
        <v>0</v>
      </c>
      <c r="H67" s="225">
        <f t="shared" si="7"/>
        <v>0</v>
      </c>
      <c r="I67" s="226">
        <f t="shared" si="8"/>
        <v>0</v>
      </c>
      <c r="J67" s="226">
        <f t="shared" si="9"/>
        <v>0</v>
      </c>
      <c r="K67" s="226">
        <f t="shared" si="10"/>
        <v>0</v>
      </c>
      <c r="L67" s="227">
        <f t="shared" si="11"/>
        <v>0</v>
      </c>
      <c r="M67" s="228">
        <f t="shared" si="12"/>
        <v>0</v>
      </c>
    </row>
    <row r="68" spans="1:27" x14ac:dyDescent="0.2">
      <c r="A68" s="231" t="str">
        <f t="shared" si="13"/>
        <v>ﾒｲｵｰﾙ NEO67</v>
      </c>
      <c r="B68" s="224">
        <f t="shared" si="13"/>
        <v>7</v>
      </c>
      <c r="C68" s="225">
        <f t="shared" si="2"/>
        <v>2.863</v>
      </c>
      <c r="D68" s="225">
        <f t="shared" si="3"/>
        <v>0</v>
      </c>
      <c r="E68" s="225">
        <f t="shared" si="4"/>
        <v>3.5000000000000005E-3</v>
      </c>
      <c r="F68" s="225">
        <f t="shared" si="5"/>
        <v>3.5000000000000005E-3</v>
      </c>
      <c r="G68" s="225">
        <f t="shared" si="6"/>
        <v>0</v>
      </c>
      <c r="H68" s="225">
        <f t="shared" si="7"/>
        <v>0</v>
      </c>
      <c r="I68" s="226">
        <f t="shared" si="8"/>
        <v>7.2099999999999997E-2</v>
      </c>
      <c r="J68" s="226">
        <f t="shared" si="9"/>
        <v>0</v>
      </c>
      <c r="K68" s="226">
        <f t="shared" si="10"/>
        <v>0</v>
      </c>
      <c r="L68" s="227">
        <f t="shared" si="11"/>
        <v>0</v>
      </c>
      <c r="M68" s="228">
        <f t="shared" si="12"/>
        <v>0</v>
      </c>
    </row>
    <row r="69" spans="1:27" x14ac:dyDescent="0.2">
      <c r="A69" s="231" t="str">
        <f t="shared" si="13"/>
        <v/>
      </c>
      <c r="B69" s="224" t="str">
        <f t="shared" si="13"/>
        <v/>
      </c>
      <c r="C69" s="225">
        <f t="shared" si="2"/>
        <v>0</v>
      </c>
      <c r="D69" s="225">
        <f t="shared" si="3"/>
        <v>0</v>
      </c>
      <c r="E69" s="225">
        <f t="shared" si="4"/>
        <v>0</v>
      </c>
      <c r="F69" s="225">
        <f t="shared" si="5"/>
        <v>0</v>
      </c>
      <c r="G69" s="225">
        <f t="shared" si="6"/>
        <v>0</v>
      </c>
      <c r="H69" s="225">
        <f t="shared" si="7"/>
        <v>0</v>
      </c>
      <c r="I69" s="226">
        <f t="shared" si="8"/>
        <v>0</v>
      </c>
      <c r="J69" s="226">
        <f t="shared" si="9"/>
        <v>0</v>
      </c>
      <c r="K69" s="226">
        <f t="shared" si="10"/>
        <v>0</v>
      </c>
      <c r="L69" s="227">
        <f t="shared" si="11"/>
        <v>0</v>
      </c>
      <c r="M69" s="228">
        <f t="shared" si="12"/>
        <v>0</v>
      </c>
    </row>
    <row r="70" spans="1:27" x14ac:dyDescent="0.2">
      <c r="A70" s="231" t="str">
        <f t="shared" ref="A70:B82" si="14">IF(A25="","",A25)</f>
        <v/>
      </c>
      <c r="B70" s="224" t="str">
        <f t="shared" si="14"/>
        <v/>
      </c>
      <c r="C70" s="225">
        <f t="shared" si="2"/>
        <v>0</v>
      </c>
      <c r="D70" s="225">
        <f t="shared" si="3"/>
        <v>0</v>
      </c>
      <c r="E70" s="225">
        <f t="shared" si="4"/>
        <v>0</v>
      </c>
      <c r="F70" s="225">
        <f t="shared" si="5"/>
        <v>0</v>
      </c>
      <c r="G70" s="225">
        <f t="shared" si="6"/>
        <v>0</v>
      </c>
      <c r="H70" s="225">
        <f t="shared" si="7"/>
        <v>0</v>
      </c>
      <c r="I70" s="226">
        <f t="shared" si="8"/>
        <v>0</v>
      </c>
      <c r="J70" s="226">
        <f t="shared" si="9"/>
        <v>0</v>
      </c>
      <c r="K70" s="226">
        <f t="shared" si="10"/>
        <v>0</v>
      </c>
      <c r="L70" s="227">
        <f t="shared" si="11"/>
        <v>0</v>
      </c>
      <c r="M70" s="228">
        <f t="shared" si="12"/>
        <v>0</v>
      </c>
    </row>
    <row r="71" spans="1:27" ht="18.75" x14ac:dyDescent="0.3">
      <c r="A71" s="231" t="str">
        <f t="shared" si="14"/>
        <v/>
      </c>
      <c r="B71" s="224" t="str">
        <f t="shared" si="14"/>
        <v/>
      </c>
      <c r="C71" s="225">
        <f t="shared" si="2"/>
        <v>0</v>
      </c>
      <c r="D71" s="225">
        <f t="shared" si="3"/>
        <v>0</v>
      </c>
      <c r="E71" s="225">
        <f t="shared" si="4"/>
        <v>0</v>
      </c>
      <c r="F71" s="225">
        <f t="shared" si="5"/>
        <v>0</v>
      </c>
      <c r="G71" s="225">
        <f t="shared" si="6"/>
        <v>0</v>
      </c>
      <c r="H71" s="225">
        <f t="shared" si="7"/>
        <v>0</v>
      </c>
      <c r="I71" s="226">
        <f t="shared" si="8"/>
        <v>0</v>
      </c>
      <c r="J71" s="226">
        <f t="shared" si="9"/>
        <v>0</v>
      </c>
      <c r="K71" s="226">
        <f t="shared" si="10"/>
        <v>0</v>
      </c>
      <c r="L71" s="227">
        <f t="shared" si="11"/>
        <v>0</v>
      </c>
      <c r="M71" s="228">
        <f t="shared" si="12"/>
        <v>0</v>
      </c>
      <c r="AA71" s="88" t="s">
        <v>43</v>
      </c>
    </row>
    <row r="72" spans="1:27" x14ac:dyDescent="0.2">
      <c r="A72" s="231" t="str">
        <f t="shared" si="14"/>
        <v/>
      </c>
      <c r="B72" s="224" t="str">
        <f t="shared" si="14"/>
        <v/>
      </c>
      <c r="C72" s="225">
        <f t="shared" si="2"/>
        <v>0</v>
      </c>
      <c r="D72" s="225">
        <f t="shared" si="3"/>
        <v>0</v>
      </c>
      <c r="E72" s="225">
        <f t="shared" si="4"/>
        <v>0</v>
      </c>
      <c r="F72" s="225">
        <f t="shared" si="5"/>
        <v>0</v>
      </c>
      <c r="G72" s="225">
        <f t="shared" si="6"/>
        <v>0</v>
      </c>
      <c r="H72" s="225">
        <f t="shared" si="7"/>
        <v>0</v>
      </c>
      <c r="I72" s="226">
        <f t="shared" si="8"/>
        <v>0</v>
      </c>
      <c r="J72" s="226">
        <f t="shared" si="9"/>
        <v>0</v>
      </c>
      <c r="K72" s="226">
        <f t="shared" si="10"/>
        <v>0</v>
      </c>
      <c r="L72" s="227">
        <f t="shared" si="11"/>
        <v>0</v>
      </c>
      <c r="M72" s="228">
        <f t="shared" si="12"/>
        <v>0</v>
      </c>
      <c r="AA72" s="89" t="s">
        <v>61</v>
      </c>
    </row>
    <row r="73" spans="1:27" x14ac:dyDescent="0.2">
      <c r="A73" s="231" t="str">
        <f t="shared" si="14"/>
        <v/>
      </c>
      <c r="B73" s="224" t="str">
        <f t="shared" si="14"/>
        <v/>
      </c>
      <c r="C73" s="225">
        <f t="shared" si="2"/>
        <v>0</v>
      </c>
      <c r="D73" s="225">
        <f t="shared" si="3"/>
        <v>0</v>
      </c>
      <c r="E73" s="225">
        <f t="shared" si="4"/>
        <v>0</v>
      </c>
      <c r="F73" s="225">
        <f t="shared" si="5"/>
        <v>0</v>
      </c>
      <c r="G73" s="225">
        <f t="shared" si="6"/>
        <v>0</v>
      </c>
      <c r="H73" s="225">
        <f t="shared" si="7"/>
        <v>0</v>
      </c>
      <c r="I73" s="226">
        <f t="shared" si="8"/>
        <v>0</v>
      </c>
      <c r="J73" s="226">
        <f t="shared" si="9"/>
        <v>0</v>
      </c>
      <c r="K73" s="226">
        <f t="shared" si="10"/>
        <v>0</v>
      </c>
      <c r="L73" s="227">
        <f t="shared" si="11"/>
        <v>0</v>
      </c>
      <c r="M73" s="228">
        <f t="shared" si="12"/>
        <v>0</v>
      </c>
      <c r="AA73" s="89" t="s">
        <v>54</v>
      </c>
    </row>
    <row r="74" spans="1:27" x14ac:dyDescent="0.2">
      <c r="A74" s="231" t="str">
        <f t="shared" si="14"/>
        <v/>
      </c>
      <c r="B74" s="224" t="str">
        <f t="shared" si="14"/>
        <v/>
      </c>
      <c r="C74" s="225">
        <f t="shared" si="2"/>
        <v>0</v>
      </c>
      <c r="D74" s="225">
        <f t="shared" si="3"/>
        <v>0</v>
      </c>
      <c r="E74" s="225">
        <f t="shared" si="4"/>
        <v>0</v>
      </c>
      <c r="F74" s="225">
        <f t="shared" si="5"/>
        <v>0</v>
      </c>
      <c r="G74" s="225">
        <f t="shared" si="6"/>
        <v>0</v>
      </c>
      <c r="H74" s="225">
        <f t="shared" si="7"/>
        <v>0</v>
      </c>
      <c r="I74" s="226">
        <f t="shared" si="8"/>
        <v>0</v>
      </c>
      <c r="J74" s="226">
        <f t="shared" si="9"/>
        <v>0</v>
      </c>
      <c r="K74" s="226">
        <f t="shared" si="10"/>
        <v>0</v>
      </c>
      <c r="L74" s="227">
        <f t="shared" si="11"/>
        <v>0</v>
      </c>
      <c r="M74" s="228">
        <f t="shared" si="12"/>
        <v>0</v>
      </c>
      <c r="AA74" s="89" t="s">
        <v>55</v>
      </c>
    </row>
    <row r="75" spans="1:27" x14ac:dyDescent="0.2">
      <c r="A75" s="231" t="str">
        <f t="shared" si="14"/>
        <v/>
      </c>
      <c r="B75" s="224" t="str">
        <f t="shared" si="14"/>
        <v/>
      </c>
      <c r="C75" s="225">
        <f t="shared" si="2"/>
        <v>0</v>
      </c>
      <c r="D75" s="225">
        <f t="shared" si="3"/>
        <v>0</v>
      </c>
      <c r="E75" s="225">
        <f t="shared" si="4"/>
        <v>0</v>
      </c>
      <c r="F75" s="225">
        <f t="shared" si="5"/>
        <v>0</v>
      </c>
      <c r="G75" s="225">
        <f t="shared" si="6"/>
        <v>0</v>
      </c>
      <c r="H75" s="225">
        <f t="shared" si="7"/>
        <v>0</v>
      </c>
      <c r="I75" s="226">
        <f t="shared" si="8"/>
        <v>0</v>
      </c>
      <c r="J75" s="226">
        <f t="shared" si="9"/>
        <v>0</v>
      </c>
      <c r="K75" s="226">
        <f t="shared" si="10"/>
        <v>0</v>
      </c>
      <c r="L75" s="227">
        <f t="shared" si="11"/>
        <v>0</v>
      </c>
      <c r="M75" s="228">
        <f t="shared" si="12"/>
        <v>0</v>
      </c>
      <c r="AA75" s="89" t="s">
        <v>56</v>
      </c>
    </row>
    <row r="76" spans="1:27" x14ac:dyDescent="0.2">
      <c r="A76" s="231" t="str">
        <f t="shared" si="14"/>
        <v/>
      </c>
      <c r="B76" s="224" t="str">
        <f t="shared" si="14"/>
        <v/>
      </c>
      <c r="C76" s="225">
        <f t="shared" si="2"/>
        <v>0</v>
      </c>
      <c r="D76" s="225">
        <f t="shared" si="3"/>
        <v>0</v>
      </c>
      <c r="E76" s="225">
        <f t="shared" si="4"/>
        <v>0</v>
      </c>
      <c r="F76" s="225">
        <f t="shared" si="5"/>
        <v>0</v>
      </c>
      <c r="G76" s="225">
        <f t="shared" si="6"/>
        <v>0</v>
      </c>
      <c r="H76" s="225">
        <f t="shared" si="7"/>
        <v>0</v>
      </c>
      <c r="I76" s="226">
        <f t="shared" si="8"/>
        <v>0</v>
      </c>
      <c r="J76" s="226">
        <f t="shared" si="9"/>
        <v>0</v>
      </c>
      <c r="K76" s="226">
        <f t="shared" si="10"/>
        <v>0</v>
      </c>
      <c r="L76" s="227">
        <f t="shared" si="11"/>
        <v>0</v>
      </c>
      <c r="M76" s="228">
        <f t="shared" si="12"/>
        <v>0</v>
      </c>
      <c r="AA76" s="89" t="s">
        <v>57</v>
      </c>
    </row>
    <row r="77" spans="1:27" x14ac:dyDescent="0.2">
      <c r="A77" s="231" t="str">
        <f t="shared" si="14"/>
        <v/>
      </c>
      <c r="B77" s="224" t="str">
        <f t="shared" si="14"/>
        <v/>
      </c>
      <c r="C77" s="225">
        <f t="shared" si="2"/>
        <v>0</v>
      </c>
      <c r="D77" s="225">
        <f t="shared" si="3"/>
        <v>0</v>
      </c>
      <c r="E77" s="225">
        <f t="shared" si="4"/>
        <v>0</v>
      </c>
      <c r="F77" s="225">
        <f t="shared" si="5"/>
        <v>0</v>
      </c>
      <c r="G77" s="225">
        <f t="shared" si="6"/>
        <v>0</v>
      </c>
      <c r="H77" s="225">
        <f t="shared" si="7"/>
        <v>0</v>
      </c>
      <c r="I77" s="226">
        <f t="shared" si="8"/>
        <v>0</v>
      </c>
      <c r="J77" s="226">
        <f t="shared" si="9"/>
        <v>0</v>
      </c>
      <c r="K77" s="226">
        <f t="shared" si="10"/>
        <v>0</v>
      </c>
      <c r="L77" s="227">
        <f t="shared" si="11"/>
        <v>0</v>
      </c>
      <c r="M77" s="228">
        <f t="shared" si="12"/>
        <v>0</v>
      </c>
      <c r="AA77" s="44"/>
    </row>
    <row r="78" spans="1:27" x14ac:dyDescent="0.2">
      <c r="A78" s="231" t="str">
        <f t="shared" si="14"/>
        <v/>
      </c>
      <c r="B78" s="224" t="str">
        <f t="shared" si="14"/>
        <v/>
      </c>
      <c r="C78" s="225">
        <f t="shared" si="2"/>
        <v>0</v>
      </c>
      <c r="D78" s="225">
        <f t="shared" si="3"/>
        <v>0</v>
      </c>
      <c r="E78" s="225">
        <f t="shared" si="4"/>
        <v>0</v>
      </c>
      <c r="F78" s="225">
        <f t="shared" si="5"/>
        <v>0</v>
      </c>
      <c r="G78" s="225">
        <f t="shared" si="6"/>
        <v>0</v>
      </c>
      <c r="H78" s="225">
        <f t="shared" si="7"/>
        <v>0</v>
      </c>
      <c r="I78" s="226">
        <f t="shared" si="8"/>
        <v>0</v>
      </c>
      <c r="J78" s="226">
        <f t="shared" si="9"/>
        <v>0</v>
      </c>
      <c r="K78" s="226">
        <f t="shared" si="10"/>
        <v>0</v>
      </c>
      <c r="L78" s="227">
        <f t="shared" si="11"/>
        <v>0</v>
      </c>
      <c r="M78" s="228">
        <f t="shared" si="12"/>
        <v>0</v>
      </c>
    </row>
    <row r="79" spans="1:27" x14ac:dyDescent="0.2">
      <c r="A79" s="231" t="str">
        <f t="shared" si="14"/>
        <v/>
      </c>
      <c r="B79" s="224" t="str">
        <f t="shared" si="14"/>
        <v/>
      </c>
      <c r="C79" s="225">
        <f t="shared" si="2"/>
        <v>0</v>
      </c>
      <c r="D79" s="225">
        <f t="shared" si="3"/>
        <v>0</v>
      </c>
      <c r="E79" s="225">
        <f t="shared" si="4"/>
        <v>0</v>
      </c>
      <c r="F79" s="225">
        <f t="shared" si="5"/>
        <v>0</v>
      </c>
      <c r="G79" s="225">
        <f t="shared" si="6"/>
        <v>0</v>
      </c>
      <c r="H79" s="225">
        <f t="shared" si="7"/>
        <v>0</v>
      </c>
      <c r="I79" s="226">
        <f t="shared" si="8"/>
        <v>0</v>
      </c>
      <c r="J79" s="226">
        <f t="shared" si="9"/>
        <v>0</v>
      </c>
      <c r="K79" s="226">
        <f t="shared" si="10"/>
        <v>0</v>
      </c>
      <c r="L79" s="227">
        <f t="shared" si="11"/>
        <v>0</v>
      </c>
      <c r="M79" s="228">
        <f t="shared" si="12"/>
        <v>0</v>
      </c>
    </row>
    <row r="80" spans="1:27" x14ac:dyDescent="0.2">
      <c r="A80" s="231" t="str">
        <f t="shared" si="14"/>
        <v/>
      </c>
      <c r="B80" s="224" t="str">
        <f t="shared" si="14"/>
        <v/>
      </c>
      <c r="C80" s="225">
        <f t="shared" si="2"/>
        <v>0</v>
      </c>
      <c r="D80" s="225">
        <f t="shared" si="3"/>
        <v>0</v>
      </c>
      <c r="E80" s="225">
        <f t="shared" si="4"/>
        <v>0</v>
      </c>
      <c r="F80" s="225">
        <f t="shared" si="5"/>
        <v>0</v>
      </c>
      <c r="G80" s="225">
        <f t="shared" si="6"/>
        <v>0</v>
      </c>
      <c r="H80" s="225">
        <f t="shared" si="7"/>
        <v>0</v>
      </c>
      <c r="I80" s="226">
        <f t="shared" si="8"/>
        <v>0</v>
      </c>
      <c r="J80" s="226">
        <f t="shared" si="9"/>
        <v>0</v>
      </c>
      <c r="K80" s="226">
        <f t="shared" si="10"/>
        <v>0</v>
      </c>
      <c r="L80" s="227">
        <f t="shared" si="11"/>
        <v>0</v>
      </c>
      <c r="M80" s="228">
        <f t="shared" si="12"/>
        <v>0</v>
      </c>
    </row>
    <row r="81" spans="1:13" x14ac:dyDescent="0.2">
      <c r="A81" s="231" t="str">
        <f t="shared" si="14"/>
        <v/>
      </c>
      <c r="B81" s="224" t="str">
        <f t="shared" si="14"/>
        <v/>
      </c>
      <c r="C81" s="225">
        <f t="shared" si="2"/>
        <v>0</v>
      </c>
      <c r="D81" s="225">
        <f t="shared" si="3"/>
        <v>0</v>
      </c>
      <c r="E81" s="225">
        <f t="shared" si="4"/>
        <v>0</v>
      </c>
      <c r="F81" s="225">
        <f t="shared" si="5"/>
        <v>0</v>
      </c>
      <c r="G81" s="225">
        <f t="shared" si="6"/>
        <v>0</v>
      </c>
      <c r="H81" s="225">
        <f t="shared" si="7"/>
        <v>0</v>
      </c>
      <c r="I81" s="226">
        <f t="shared" si="8"/>
        <v>0</v>
      </c>
      <c r="J81" s="226">
        <f t="shared" si="9"/>
        <v>0</v>
      </c>
      <c r="K81" s="226">
        <f t="shared" si="10"/>
        <v>0</v>
      </c>
      <c r="L81" s="227">
        <f t="shared" si="11"/>
        <v>0</v>
      </c>
      <c r="M81" s="228">
        <f t="shared" si="12"/>
        <v>0</v>
      </c>
    </row>
    <row r="82" spans="1:13" x14ac:dyDescent="0.2">
      <c r="A82" s="231" t="str">
        <f t="shared" si="14"/>
        <v>仕込水（※ラボ吸水）</v>
      </c>
      <c r="B82" s="224">
        <f>IF(B37="","",B37)</f>
        <v>10</v>
      </c>
      <c r="C82" s="225">
        <f t="shared" si="2"/>
        <v>10</v>
      </c>
      <c r="D82" s="225">
        <f t="shared" si="3"/>
        <v>0</v>
      </c>
      <c r="E82" s="225">
        <f t="shared" si="4"/>
        <v>0</v>
      </c>
      <c r="F82" s="225">
        <f t="shared" si="5"/>
        <v>0</v>
      </c>
      <c r="G82" s="225">
        <f t="shared" si="6"/>
        <v>0</v>
      </c>
      <c r="H82" s="225">
        <f t="shared" si="7"/>
        <v>0</v>
      </c>
      <c r="I82" s="226">
        <f t="shared" si="8"/>
        <v>0</v>
      </c>
      <c r="J82" s="226">
        <f t="shared" si="9"/>
        <v>0</v>
      </c>
      <c r="K82" s="226">
        <f t="shared" si="10"/>
        <v>0</v>
      </c>
      <c r="L82" s="227">
        <f t="shared" si="11"/>
        <v>0</v>
      </c>
      <c r="M82" s="228">
        <f t="shared" si="12"/>
        <v>0</v>
      </c>
    </row>
    <row r="83" spans="1:13" x14ac:dyDescent="0.2">
      <c r="A83" s="9" t="s">
        <v>34</v>
      </c>
      <c r="B83" s="229">
        <f t="shared" ref="B83:M83" si="15">SUM(B53:B82)</f>
        <v>483</v>
      </c>
      <c r="C83" s="225">
        <f t="shared" si="15"/>
        <v>146.43299999999999</v>
      </c>
      <c r="D83" s="225">
        <f t="shared" si="15"/>
        <v>22.671999999999997</v>
      </c>
      <c r="E83" s="225">
        <f t="shared" si="15"/>
        <v>64.192499999999995</v>
      </c>
      <c r="F83" s="225">
        <f t="shared" si="15"/>
        <v>233.62199999999996</v>
      </c>
      <c r="G83" s="225">
        <f t="shared" si="15"/>
        <v>1.9650000000000001</v>
      </c>
      <c r="H83" s="225">
        <f t="shared" si="15"/>
        <v>8.5455000000000005</v>
      </c>
      <c r="I83" s="226">
        <f t="shared" si="15"/>
        <v>1412.5021000000002</v>
      </c>
      <c r="J83" s="226">
        <f t="shared" si="15"/>
        <v>0.67700000000000005</v>
      </c>
      <c r="K83" s="226">
        <f t="shared" si="15"/>
        <v>11.8567</v>
      </c>
      <c r="L83" s="225">
        <f t="shared" si="15"/>
        <v>446.39</v>
      </c>
      <c r="M83" s="230">
        <f t="shared" si="15"/>
        <v>1213.9000000000001</v>
      </c>
    </row>
    <row r="84" spans="1:13" x14ac:dyDescent="0.2">
      <c r="A84" s="9" t="s">
        <v>35</v>
      </c>
      <c r="B84" s="41">
        <v>0</v>
      </c>
      <c r="C84" s="60"/>
      <c r="D84" s="60"/>
      <c r="E84" s="60"/>
      <c r="F84" s="60"/>
      <c r="G84" s="60"/>
      <c r="H84" s="60"/>
      <c r="I84" s="61"/>
      <c r="J84" s="62"/>
      <c r="K84" s="62"/>
      <c r="L84" s="121"/>
      <c r="M84" s="120"/>
    </row>
    <row r="85" spans="1:13" x14ac:dyDescent="0.2">
      <c r="A85" s="9" t="s">
        <v>36</v>
      </c>
      <c r="B85" s="229">
        <f>B83-B83*B84/100</f>
        <v>483</v>
      </c>
      <c r="C85" s="225">
        <f>C83-B83*B84/100</f>
        <v>146.43299999999999</v>
      </c>
      <c r="D85" s="225">
        <f t="shared" ref="D85:M85" si="16">SUM(D53:D82)</f>
        <v>22.671999999999997</v>
      </c>
      <c r="E85" s="225">
        <f t="shared" si="16"/>
        <v>64.192499999999995</v>
      </c>
      <c r="F85" s="225">
        <f t="shared" si="16"/>
        <v>233.62199999999996</v>
      </c>
      <c r="G85" s="225">
        <f t="shared" si="16"/>
        <v>1.9650000000000001</v>
      </c>
      <c r="H85" s="225">
        <f t="shared" si="16"/>
        <v>8.5455000000000005</v>
      </c>
      <c r="I85" s="226">
        <f t="shared" si="16"/>
        <v>1412.5021000000002</v>
      </c>
      <c r="J85" s="233">
        <f t="shared" si="16"/>
        <v>0.67700000000000005</v>
      </c>
      <c r="K85" s="233">
        <f t="shared" si="16"/>
        <v>11.8567</v>
      </c>
      <c r="L85" s="234">
        <f t="shared" si="16"/>
        <v>446.39</v>
      </c>
      <c r="M85" s="235">
        <f t="shared" si="16"/>
        <v>1213.9000000000001</v>
      </c>
    </row>
    <row r="86" spans="1:13" x14ac:dyDescent="0.2">
      <c r="A86" s="9" t="s">
        <v>37</v>
      </c>
      <c r="B86" s="232">
        <f>SUM(C86:H86)</f>
        <v>98.899999999999991</v>
      </c>
      <c r="C86" s="232">
        <f>ROUND(+C85/B85*100,1)</f>
        <v>30.3</v>
      </c>
      <c r="D86" s="232">
        <f>ROUND(+D85/B85*100,1)</f>
        <v>4.7</v>
      </c>
      <c r="E86" s="232">
        <f>ROUND(+E85/B85*100,1)</f>
        <v>13.3</v>
      </c>
      <c r="F86" s="232">
        <f>ROUND(+F85/B85*100,1)</f>
        <v>48.4</v>
      </c>
      <c r="G86" s="232">
        <f>ROUND(+G85/B85*100,1)</f>
        <v>0.4</v>
      </c>
      <c r="H86" s="232">
        <f>ROUND(+H85/B85*100,1)</f>
        <v>1.8</v>
      </c>
      <c r="I86" s="236">
        <f>ROUND(+I85/B85*100,1)</f>
        <v>292.39999999999998</v>
      </c>
      <c r="J86" s="226">
        <f>(+J85/B85*100)</f>
        <v>0.14016563146997929</v>
      </c>
      <c r="K86" s="226">
        <f>(+K85/B85*100)</f>
        <v>2.4548033126293998</v>
      </c>
      <c r="L86" s="234">
        <f>(+L85/B85*100)</f>
        <v>92.420289855072454</v>
      </c>
      <c r="M86" s="235">
        <f>(+M85/B85*100)</f>
        <v>251.32505175983439</v>
      </c>
    </row>
    <row r="87" spans="1:13" x14ac:dyDescent="0.2">
      <c r="A87" s="9" t="s">
        <v>38</v>
      </c>
      <c r="B87" s="232">
        <f>SUM(C87:H87)</f>
        <v>100.00000000000001</v>
      </c>
      <c r="C87" s="174">
        <v>30.3</v>
      </c>
      <c r="D87" s="174">
        <v>4.7</v>
      </c>
      <c r="E87" s="174">
        <v>13.3</v>
      </c>
      <c r="F87" s="232">
        <f>F86+100-B86</f>
        <v>49.500000000000014</v>
      </c>
      <c r="G87" s="174">
        <v>0.4</v>
      </c>
      <c r="H87" s="174">
        <v>1.8</v>
      </c>
      <c r="I87" s="174">
        <v>292.39999999999998</v>
      </c>
      <c r="J87" s="175">
        <v>0.14016563146997929</v>
      </c>
      <c r="K87" s="175">
        <v>2.4548033126293998</v>
      </c>
      <c r="L87" s="174">
        <v>92.420289855072454</v>
      </c>
      <c r="M87" s="177">
        <v>251.32505175983439</v>
      </c>
    </row>
    <row r="88" spans="1:13" x14ac:dyDescent="0.2">
      <c r="A88" s="6"/>
      <c r="B88" s="6"/>
      <c r="C88" s="6" t="s">
        <v>39</v>
      </c>
      <c r="D88" s="6"/>
      <c r="E88" s="6"/>
      <c r="F88" s="6"/>
      <c r="G88" s="6"/>
      <c r="H88" s="6"/>
      <c r="I88" s="34"/>
      <c r="J88" s="6"/>
      <c r="K88" s="6"/>
      <c r="L88" s="35"/>
      <c r="M88" s="127"/>
    </row>
    <row r="89" spans="1:13" x14ac:dyDescent="0.2">
      <c r="A89" s="9" t="s">
        <v>24</v>
      </c>
      <c r="B89" s="9" t="s">
        <v>19</v>
      </c>
      <c r="C89" s="9" t="s">
        <v>4</v>
      </c>
      <c r="D89" s="9" t="s">
        <v>5</v>
      </c>
      <c r="E89" s="9" t="s">
        <v>6</v>
      </c>
      <c r="F89" s="9" t="s">
        <v>7</v>
      </c>
      <c r="G89" s="9" t="s">
        <v>8</v>
      </c>
      <c r="H89" s="9" t="s">
        <v>9</v>
      </c>
      <c r="I89" s="10" t="s">
        <v>25</v>
      </c>
      <c r="J89" s="11" t="s">
        <v>11</v>
      </c>
      <c r="K89" s="12" t="s">
        <v>12</v>
      </c>
      <c r="L89" s="126" t="s">
        <v>13</v>
      </c>
      <c r="M89" s="223" t="str">
        <f>M7</f>
        <v>カルシウム</v>
      </c>
    </row>
    <row r="90" spans="1:13" x14ac:dyDescent="0.2">
      <c r="A90" s="31" t="s">
        <v>27</v>
      </c>
      <c r="B90" s="229">
        <f>B40*(100-B84)/100</f>
        <v>99</v>
      </c>
      <c r="C90" s="225">
        <f>C87/100*B90</f>
        <v>29.997</v>
      </c>
      <c r="D90" s="225">
        <f>D87/100*B90</f>
        <v>4.6529999999999996</v>
      </c>
      <c r="E90" s="225">
        <f>E87/100*B90</f>
        <v>13.167000000000002</v>
      </c>
      <c r="F90" s="225">
        <f>F87/100*B90</f>
        <v>49.005000000000017</v>
      </c>
      <c r="G90" s="225">
        <f>G87/100*B90</f>
        <v>0.39600000000000002</v>
      </c>
      <c r="H90" s="225">
        <f>H87/100*B90</f>
        <v>1.7820000000000003</v>
      </c>
      <c r="I90" s="226">
        <f>I87/100*B90</f>
        <v>289.476</v>
      </c>
      <c r="J90" s="237">
        <f>J87/100*B90</f>
        <v>0.1387639751552795</v>
      </c>
      <c r="K90" s="237">
        <f>K87/100*B90</f>
        <v>2.4302552795031058</v>
      </c>
      <c r="L90" s="238">
        <f>L87/100*B90</f>
        <v>91.496086956521737</v>
      </c>
      <c r="M90" s="239">
        <f>M87/100*B90</f>
        <v>248.81180124223604</v>
      </c>
    </row>
    <row r="91" spans="1:13" x14ac:dyDescent="0.2">
      <c r="A91" s="231" t="str">
        <f>IF(A41="","",A41)</f>
        <v/>
      </c>
      <c r="B91" s="224" t="str">
        <f>IF(B41="","",B41)</f>
        <v/>
      </c>
      <c r="C91" s="225">
        <f t="shared" ref="C91:C99" si="17">C41/100*B91</f>
        <v>0</v>
      </c>
      <c r="D91" s="225">
        <f t="shared" ref="D91:D99" si="18">D41/100*B91</f>
        <v>0</v>
      </c>
      <c r="E91" s="225">
        <f t="shared" ref="E91:E99" si="19">E41/100*B91</f>
        <v>0</v>
      </c>
      <c r="F91" s="225">
        <f t="shared" ref="F91:F99" si="20">F41/100*B91</f>
        <v>0</v>
      </c>
      <c r="G91" s="225">
        <f t="shared" ref="G91:G99" si="21">G41/100*B91</f>
        <v>0</v>
      </c>
      <c r="H91" s="225">
        <f t="shared" ref="H91:H99" si="22">H41/100*B91</f>
        <v>0</v>
      </c>
      <c r="I91" s="226">
        <f t="shared" ref="I91:I99" si="23">I41/100*B91</f>
        <v>0</v>
      </c>
      <c r="J91" s="237">
        <f t="shared" ref="J91:J99" si="24">J41/100*B91</f>
        <v>0</v>
      </c>
      <c r="K91" s="237">
        <f t="shared" ref="K91:K99" si="25">K41/100*B91</f>
        <v>0</v>
      </c>
      <c r="L91" s="240">
        <f t="shared" ref="L91:L99" si="26">L41/100*A91</f>
        <v>0</v>
      </c>
      <c r="M91" s="241">
        <f>M41/100*B91</f>
        <v>0</v>
      </c>
    </row>
    <row r="92" spans="1:13" x14ac:dyDescent="0.2">
      <c r="A92" s="231" t="str">
        <f t="shared" ref="A92:B99" si="27">IF(A42="","",A42)</f>
        <v/>
      </c>
      <c r="B92" s="224" t="str">
        <f t="shared" si="27"/>
        <v/>
      </c>
      <c r="C92" s="225">
        <f t="shared" si="17"/>
        <v>0</v>
      </c>
      <c r="D92" s="225">
        <f t="shared" si="18"/>
        <v>0</v>
      </c>
      <c r="E92" s="225">
        <f t="shared" si="19"/>
        <v>0</v>
      </c>
      <c r="F92" s="225">
        <f t="shared" si="20"/>
        <v>0</v>
      </c>
      <c r="G92" s="225">
        <f t="shared" si="21"/>
        <v>0</v>
      </c>
      <c r="H92" s="225">
        <f t="shared" si="22"/>
        <v>0</v>
      </c>
      <c r="I92" s="226">
        <f t="shared" si="23"/>
        <v>0</v>
      </c>
      <c r="J92" s="237">
        <f t="shared" si="24"/>
        <v>0</v>
      </c>
      <c r="K92" s="237">
        <f t="shared" si="25"/>
        <v>0</v>
      </c>
      <c r="L92" s="240">
        <f t="shared" si="26"/>
        <v>0</v>
      </c>
      <c r="M92" s="241">
        <f>M42/100*B92</f>
        <v>0</v>
      </c>
    </row>
    <row r="93" spans="1:13" x14ac:dyDescent="0.2">
      <c r="A93" s="231" t="str">
        <f t="shared" si="27"/>
        <v/>
      </c>
      <c r="B93" s="224" t="str">
        <f t="shared" si="27"/>
        <v/>
      </c>
      <c r="C93" s="225">
        <f t="shared" si="17"/>
        <v>0</v>
      </c>
      <c r="D93" s="225">
        <f t="shared" si="18"/>
        <v>0</v>
      </c>
      <c r="E93" s="225">
        <f t="shared" si="19"/>
        <v>0</v>
      </c>
      <c r="F93" s="225">
        <f t="shared" si="20"/>
        <v>0</v>
      </c>
      <c r="G93" s="225">
        <f t="shared" si="21"/>
        <v>0</v>
      </c>
      <c r="H93" s="225">
        <f t="shared" si="22"/>
        <v>0</v>
      </c>
      <c r="I93" s="226">
        <f t="shared" si="23"/>
        <v>0</v>
      </c>
      <c r="J93" s="237">
        <f t="shared" si="24"/>
        <v>0</v>
      </c>
      <c r="K93" s="237">
        <f t="shared" si="25"/>
        <v>0</v>
      </c>
      <c r="L93" s="240">
        <f t="shared" si="26"/>
        <v>0</v>
      </c>
      <c r="M93" s="241">
        <f t="shared" ref="M93:M99" si="28">M43/100*A93</f>
        <v>0</v>
      </c>
    </row>
    <row r="94" spans="1:13" x14ac:dyDescent="0.2">
      <c r="A94" s="231" t="str">
        <f t="shared" si="27"/>
        <v/>
      </c>
      <c r="B94" s="224" t="str">
        <f t="shared" si="27"/>
        <v/>
      </c>
      <c r="C94" s="225">
        <f t="shared" si="17"/>
        <v>0</v>
      </c>
      <c r="D94" s="225">
        <f t="shared" si="18"/>
        <v>0</v>
      </c>
      <c r="E94" s="225">
        <f t="shared" si="19"/>
        <v>0</v>
      </c>
      <c r="F94" s="225">
        <f t="shared" si="20"/>
        <v>0</v>
      </c>
      <c r="G94" s="225">
        <f t="shared" si="21"/>
        <v>0</v>
      </c>
      <c r="H94" s="225">
        <f t="shared" si="22"/>
        <v>0</v>
      </c>
      <c r="I94" s="226">
        <f t="shared" si="23"/>
        <v>0</v>
      </c>
      <c r="J94" s="237">
        <f t="shared" si="24"/>
        <v>0</v>
      </c>
      <c r="K94" s="237">
        <f t="shared" si="25"/>
        <v>0</v>
      </c>
      <c r="L94" s="240">
        <f t="shared" si="26"/>
        <v>0</v>
      </c>
      <c r="M94" s="241">
        <f t="shared" si="28"/>
        <v>0</v>
      </c>
    </row>
    <row r="95" spans="1:13" x14ac:dyDescent="0.2">
      <c r="A95" s="231" t="str">
        <f t="shared" si="27"/>
        <v/>
      </c>
      <c r="B95" s="224" t="str">
        <f t="shared" si="27"/>
        <v/>
      </c>
      <c r="C95" s="225">
        <f t="shared" si="17"/>
        <v>0</v>
      </c>
      <c r="D95" s="225">
        <f t="shared" si="18"/>
        <v>0</v>
      </c>
      <c r="E95" s="225">
        <f t="shared" si="19"/>
        <v>0</v>
      </c>
      <c r="F95" s="225">
        <f t="shared" si="20"/>
        <v>0</v>
      </c>
      <c r="G95" s="225">
        <f t="shared" si="21"/>
        <v>0</v>
      </c>
      <c r="H95" s="225">
        <f t="shared" si="22"/>
        <v>0</v>
      </c>
      <c r="I95" s="226">
        <f t="shared" si="23"/>
        <v>0</v>
      </c>
      <c r="J95" s="237">
        <f t="shared" si="24"/>
        <v>0</v>
      </c>
      <c r="K95" s="237">
        <f t="shared" si="25"/>
        <v>0</v>
      </c>
      <c r="L95" s="240">
        <f t="shared" si="26"/>
        <v>0</v>
      </c>
      <c r="M95" s="241">
        <f t="shared" si="28"/>
        <v>0</v>
      </c>
    </row>
    <row r="96" spans="1:13" x14ac:dyDescent="0.2">
      <c r="A96" s="231" t="str">
        <f t="shared" si="27"/>
        <v/>
      </c>
      <c r="B96" s="224" t="str">
        <f t="shared" si="27"/>
        <v/>
      </c>
      <c r="C96" s="225">
        <f t="shared" si="17"/>
        <v>0</v>
      </c>
      <c r="D96" s="225">
        <f t="shared" si="18"/>
        <v>0</v>
      </c>
      <c r="E96" s="225">
        <f t="shared" si="19"/>
        <v>0</v>
      </c>
      <c r="F96" s="225">
        <f t="shared" si="20"/>
        <v>0</v>
      </c>
      <c r="G96" s="225">
        <f t="shared" si="21"/>
        <v>0</v>
      </c>
      <c r="H96" s="225">
        <f t="shared" si="22"/>
        <v>0</v>
      </c>
      <c r="I96" s="226">
        <f t="shared" si="23"/>
        <v>0</v>
      </c>
      <c r="J96" s="237">
        <f t="shared" si="24"/>
        <v>0</v>
      </c>
      <c r="K96" s="237">
        <f t="shared" si="25"/>
        <v>0</v>
      </c>
      <c r="L96" s="240">
        <f t="shared" si="26"/>
        <v>0</v>
      </c>
      <c r="M96" s="241">
        <f t="shared" si="28"/>
        <v>0</v>
      </c>
    </row>
    <row r="97" spans="1:13" x14ac:dyDescent="0.2">
      <c r="A97" s="231" t="str">
        <f t="shared" si="27"/>
        <v/>
      </c>
      <c r="B97" s="224" t="str">
        <f t="shared" si="27"/>
        <v/>
      </c>
      <c r="C97" s="225">
        <f t="shared" si="17"/>
        <v>0</v>
      </c>
      <c r="D97" s="225">
        <f t="shared" si="18"/>
        <v>0</v>
      </c>
      <c r="E97" s="225">
        <f t="shared" si="19"/>
        <v>0</v>
      </c>
      <c r="F97" s="225">
        <f t="shared" si="20"/>
        <v>0</v>
      </c>
      <c r="G97" s="225">
        <f t="shared" si="21"/>
        <v>0</v>
      </c>
      <c r="H97" s="225">
        <f t="shared" si="22"/>
        <v>0</v>
      </c>
      <c r="I97" s="226">
        <f t="shared" si="23"/>
        <v>0</v>
      </c>
      <c r="J97" s="237">
        <f t="shared" si="24"/>
        <v>0</v>
      </c>
      <c r="K97" s="237">
        <f t="shared" si="25"/>
        <v>0</v>
      </c>
      <c r="L97" s="240">
        <f t="shared" si="26"/>
        <v>0</v>
      </c>
      <c r="M97" s="241">
        <f t="shared" si="28"/>
        <v>0</v>
      </c>
    </row>
    <row r="98" spans="1:13" x14ac:dyDescent="0.2">
      <c r="A98" s="231" t="str">
        <f t="shared" si="27"/>
        <v/>
      </c>
      <c r="B98" s="224" t="str">
        <f t="shared" si="27"/>
        <v/>
      </c>
      <c r="C98" s="225">
        <f t="shared" si="17"/>
        <v>0</v>
      </c>
      <c r="D98" s="225">
        <f t="shared" si="18"/>
        <v>0</v>
      </c>
      <c r="E98" s="225">
        <f t="shared" si="19"/>
        <v>0</v>
      </c>
      <c r="F98" s="225">
        <f t="shared" si="20"/>
        <v>0</v>
      </c>
      <c r="G98" s="225">
        <f t="shared" si="21"/>
        <v>0</v>
      </c>
      <c r="H98" s="225">
        <f t="shared" si="22"/>
        <v>0</v>
      </c>
      <c r="I98" s="226">
        <f t="shared" si="23"/>
        <v>0</v>
      </c>
      <c r="J98" s="237">
        <f t="shared" si="24"/>
        <v>0</v>
      </c>
      <c r="K98" s="237">
        <f t="shared" si="25"/>
        <v>0</v>
      </c>
      <c r="L98" s="240">
        <f t="shared" si="26"/>
        <v>0</v>
      </c>
      <c r="M98" s="241">
        <f t="shared" si="28"/>
        <v>0</v>
      </c>
    </row>
    <row r="99" spans="1:13" x14ac:dyDescent="0.2">
      <c r="A99" s="231" t="str">
        <f t="shared" si="27"/>
        <v/>
      </c>
      <c r="B99" s="224" t="str">
        <f t="shared" si="27"/>
        <v/>
      </c>
      <c r="C99" s="225">
        <f t="shared" si="17"/>
        <v>0</v>
      </c>
      <c r="D99" s="225">
        <f t="shared" si="18"/>
        <v>0</v>
      </c>
      <c r="E99" s="225">
        <f t="shared" si="19"/>
        <v>0</v>
      </c>
      <c r="F99" s="225">
        <f t="shared" si="20"/>
        <v>0</v>
      </c>
      <c r="G99" s="225">
        <f t="shared" si="21"/>
        <v>0</v>
      </c>
      <c r="H99" s="225">
        <f t="shared" si="22"/>
        <v>0</v>
      </c>
      <c r="I99" s="226">
        <f t="shared" si="23"/>
        <v>0</v>
      </c>
      <c r="J99" s="237">
        <f t="shared" si="24"/>
        <v>0</v>
      </c>
      <c r="K99" s="237">
        <f t="shared" si="25"/>
        <v>0</v>
      </c>
      <c r="L99" s="240">
        <f t="shared" si="26"/>
        <v>0</v>
      </c>
      <c r="M99" s="241">
        <f t="shared" si="28"/>
        <v>0</v>
      </c>
    </row>
    <row r="100" spans="1:13" x14ac:dyDescent="0.2">
      <c r="A100" s="9" t="s">
        <v>34</v>
      </c>
      <c r="B100" s="229">
        <f t="shared" ref="B100:M100" si="29">SUM(B90:B99)</f>
        <v>99</v>
      </c>
      <c r="C100" s="225">
        <f t="shared" si="29"/>
        <v>29.997</v>
      </c>
      <c r="D100" s="225">
        <f t="shared" si="29"/>
        <v>4.6529999999999996</v>
      </c>
      <c r="E100" s="225">
        <f t="shared" si="29"/>
        <v>13.167000000000002</v>
      </c>
      <c r="F100" s="225">
        <f t="shared" si="29"/>
        <v>49.005000000000017</v>
      </c>
      <c r="G100" s="225">
        <f t="shared" si="29"/>
        <v>0.39600000000000002</v>
      </c>
      <c r="H100" s="225">
        <f t="shared" si="29"/>
        <v>1.7820000000000003</v>
      </c>
      <c r="I100" s="226">
        <f t="shared" si="29"/>
        <v>289.476</v>
      </c>
      <c r="J100" s="226">
        <f t="shared" si="29"/>
        <v>0.1387639751552795</v>
      </c>
      <c r="K100" s="226">
        <f t="shared" si="29"/>
        <v>2.4302552795031058</v>
      </c>
      <c r="L100" s="225">
        <f t="shared" si="29"/>
        <v>91.496086956521737</v>
      </c>
      <c r="M100" s="230">
        <f t="shared" si="29"/>
        <v>248.81180124223604</v>
      </c>
    </row>
    <row r="101" spans="1:13" x14ac:dyDescent="0.2">
      <c r="A101" s="9" t="s">
        <v>35</v>
      </c>
      <c r="B101" s="41">
        <v>0</v>
      </c>
      <c r="C101" s="60"/>
      <c r="D101" s="60"/>
      <c r="E101" s="60"/>
      <c r="F101" s="60"/>
      <c r="G101" s="60"/>
      <c r="H101" s="60"/>
      <c r="I101" s="61"/>
      <c r="J101" s="61"/>
      <c r="K101" s="61"/>
      <c r="L101" s="121"/>
      <c r="M101" s="120"/>
    </row>
    <row r="102" spans="1:13" x14ac:dyDescent="0.2">
      <c r="A102" s="9" t="s">
        <v>36</v>
      </c>
      <c r="B102" s="229">
        <f>B100-B100*B101/100</f>
        <v>99</v>
      </c>
      <c r="C102" s="225">
        <f>C100-B100*B101/100</f>
        <v>29.997</v>
      </c>
      <c r="D102" s="225">
        <f t="shared" ref="D102:M102" si="30">SUM(D90:D99)</f>
        <v>4.6529999999999996</v>
      </c>
      <c r="E102" s="225">
        <f t="shared" si="30"/>
        <v>13.167000000000002</v>
      </c>
      <c r="F102" s="225">
        <f t="shared" si="30"/>
        <v>49.005000000000017</v>
      </c>
      <c r="G102" s="225">
        <f t="shared" si="30"/>
        <v>0.39600000000000002</v>
      </c>
      <c r="H102" s="225">
        <f t="shared" si="30"/>
        <v>1.7820000000000003</v>
      </c>
      <c r="I102" s="226">
        <f t="shared" si="30"/>
        <v>289.476</v>
      </c>
      <c r="J102" s="242">
        <f t="shared" si="30"/>
        <v>0.1387639751552795</v>
      </c>
      <c r="K102" s="242">
        <f t="shared" si="30"/>
        <v>2.4302552795031058</v>
      </c>
      <c r="L102" s="243">
        <f t="shared" si="30"/>
        <v>91.496086956521737</v>
      </c>
      <c r="M102" s="244">
        <f t="shared" si="30"/>
        <v>248.81180124223604</v>
      </c>
    </row>
    <row r="103" spans="1:13" ht="18" thickBot="1" x14ac:dyDescent="0.25">
      <c r="A103" s="66" t="s">
        <v>37</v>
      </c>
      <c r="B103" s="245">
        <f>SUM(C103:H103)</f>
        <v>100</v>
      </c>
      <c r="C103" s="245">
        <f>ROUND(+C102/B102*100,1)</f>
        <v>30.3</v>
      </c>
      <c r="D103" s="245">
        <f>ROUND(+D102/B102*100,1)</f>
        <v>4.7</v>
      </c>
      <c r="E103" s="245">
        <f>ROUND(+E102/B102*100,1)</f>
        <v>13.3</v>
      </c>
      <c r="F103" s="245">
        <f>ROUND(+F102/B102*100,1)</f>
        <v>49.5</v>
      </c>
      <c r="G103" s="245">
        <f>ROUND(+G102/B102*100,1)</f>
        <v>0.4</v>
      </c>
      <c r="H103" s="245">
        <f>ROUND(+H102/B102*100,1)</f>
        <v>1.8</v>
      </c>
      <c r="I103" s="246">
        <f>ROUND(+I102/B102*100,0)</f>
        <v>292</v>
      </c>
      <c r="J103" s="247">
        <f>ROUND(+J102/B102*100,2)</f>
        <v>0.14000000000000001</v>
      </c>
      <c r="K103" s="247">
        <f>ROUND(+K102/B102*100,2)</f>
        <v>2.4500000000000002</v>
      </c>
      <c r="L103" s="248">
        <f>ROUND(+L102/B102*100,0)</f>
        <v>92</v>
      </c>
      <c r="M103" s="249">
        <f>ROUND(+M102/B102*100,0)</f>
        <v>251</v>
      </c>
    </row>
    <row r="104" spans="1:13" ht="18.75" thickTop="1" thickBot="1" x14ac:dyDescent="0.25">
      <c r="A104" s="68" t="s">
        <v>38</v>
      </c>
      <c r="B104" s="250">
        <f>SUM(C104:H104)</f>
        <v>100</v>
      </c>
      <c r="C104" s="188">
        <v>30.9</v>
      </c>
      <c r="D104" s="188">
        <v>5</v>
      </c>
      <c r="E104" s="188">
        <v>13.8</v>
      </c>
      <c r="F104" s="190">
        <v>49</v>
      </c>
      <c r="G104" s="191">
        <v>0</v>
      </c>
      <c r="H104" s="188">
        <v>1.3</v>
      </c>
      <c r="I104" s="188">
        <v>290</v>
      </c>
      <c r="J104" s="178">
        <v>0.14000000000000001</v>
      </c>
      <c r="K104" s="178">
        <v>2.4500000000000002</v>
      </c>
      <c r="L104" s="176">
        <v>92</v>
      </c>
      <c r="M104" s="186">
        <v>260</v>
      </c>
    </row>
    <row r="105" spans="1:13" ht="18.75" thickTop="1" thickBot="1" x14ac:dyDescent="0.25">
      <c r="A105" s="70"/>
      <c r="B105" s="71"/>
      <c r="C105" s="113"/>
      <c r="D105" s="72"/>
      <c r="E105" s="72"/>
      <c r="F105" s="73" t="s">
        <v>20</v>
      </c>
      <c r="G105" s="74"/>
      <c r="H105" s="72"/>
      <c r="I105" s="189" t="s">
        <v>106</v>
      </c>
      <c r="J105" s="72"/>
      <c r="K105" s="72"/>
      <c r="L105" s="8"/>
      <c r="M105" s="8"/>
    </row>
    <row r="106" spans="1:13" ht="18.75" thickTop="1" thickBot="1" x14ac:dyDescent="0.25">
      <c r="A106" s="165" t="s">
        <v>72</v>
      </c>
      <c r="B106" s="166">
        <v>33</v>
      </c>
      <c r="C106" s="251" t="str">
        <f>IF(COUNTIF(A6,"*ｾﾌﾞﾝﾌﾟﾚﾐｱﾑ*")+COUNTIF(A6,"*7P*"),"7P 複数個入り注意!!","")</f>
        <v/>
      </c>
      <c r="D106" s="72"/>
      <c r="E106" s="72"/>
      <c r="F106" s="252">
        <f>SUM(F104:G104)</f>
        <v>49</v>
      </c>
      <c r="G106" s="72"/>
      <c r="H106" s="72"/>
      <c r="I106" s="72"/>
      <c r="J106" s="72"/>
      <c r="K106" s="72"/>
      <c r="L106" s="8"/>
      <c r="M106" s="8"/>
    </row>
    <row r="107" spans="1:13" ht="18" x14ac:dyDescent="0.2">
      <c r="A107" s="2"/>
      <c r="B107" s="2"/>
      <c r="C107" s="2"/>
      <c r="D107" s="2"/>
      <c r="E107" s="76"/>
      <c r="F107" s="77"/>
      <c r="G107" s="2"/>
      <c r="H107" s="2"/>
      <c r="I107" s="2"/>
      <c r="J107" s="2"/>
      <c r="K107" s="2"/>
      <c r="L107" s="3"/>
      <c r="M107" s="3"/>
    </row>
    <row r="108" spans="1:13" ht="18.75" thickBot="1" x14ac:dyDescent="0.25">
      <c r="A108" s="78" t="s">
        <v>40</v>
      </c>
      <c r="B108" s="79"/>
      <c r="C108" s="253">
        <f>ROUND(+D104*4+E104*9+F104*4+G104*4,0)</f>
        <v>340</v>
      </c>
      <c r="D108" s="78" t="s">
        <v>41</v>
      </c>
      <c r="E108" s="81"/>
      <c r="F108" s="76"/>
      <c r="G108" s="2"/>
      <c r="H108" s="2"/>
      <c r="I108" s="2"/>
      <c r="J108" s="2"/>
      <c r="K108" s="2"/>
      <c r="L108" s="3"/>
      <c r="M108" s="3"/>
    </row>
    <row r="109" spans="1:13" ht="18" thickTop="1" x14ac:dyDescent="0.2">
      <c r="A109" s="2"/>
      <c r="B109" s="82"/>
      <c r="C109" s="82"/>
      <c r="D109" s="82"/>
      <c r="G109" s="82"/>
      <c r="H109" s="82"/>
      <c r="I109" s="82"/>
      <c r="J109" s="82"/>
      <c r="K109" s="82"/>
      <c r="L109" s="3"/>
      <c r="M109" s="3"/>
    </row>
    <row r="110" spans="1:13" x14ac:dyDescent="0.2">
      <c r="A110" s="2"/>
      <c r="B110" s="82"/>
      <c r="C110" s="82"/>
      <c r="D110" s="82"/>
      <c r="E110" s="82"/>
      <c r="F110" s="82"/>
      <c r="G110" s="82"/>
      <c r="H110" s="82"/>
      <c r="I110" s="82"/>
      <c r="J110" s="82"/>
      <c r="K110" s="82"/>
      <c r="L110" s="3"/>
      <c r="M110" s="3"/>
    </row>
    <row r="111" spans="1:13" x14ac:dyDescent="0.2">
      <c r="A111" s="2"/>
      <c r="B111" s="82"/>
      <c r="C111" s="97" t="s">
        <v>45</v>
      </c>
      <c r="D111" s="82"/>
      <c r="E111" s="254" t="str">
        <f>AG12</f>
        <v>1包装当たり</v>
      </c>
      <c r="F111" s="82"/>
      <c r="G111" s="82"/>
      <c r="H111" s="82"/>
      <c r="I111" s="82"/>
      <c r="J111" s="82"/>
      <c r="K111" s="82"/>
      <c r="L111" s="3"/>
      <c r="M111" s="3"/>
    </row>
    <row r="112" spans="1:13" x14ac:dyDescent="0.2">
      <c r="A112" s="2"/>
      <c r="B112" s="82"/>
      <c r="C112" s="98" t="s">
        <v>46</v>
      </c>
      <c r="D112" s="98" t="s">
        <v>17</v>
      </c>
      <c r="E112" s="98" t="s">
        <v>18</v>
      </c>
      <c r="F112" s="98" t="s">
        <v>20</v>
      </c>
      <c r="G112" s="98" t="s">
        <v>21</v>
      </c>
      <c r="H112" s="98" t="s">
        <v>12</v>
      </c>
      <c r="I112" s="98" t="s">
        <v>47</v>
      </c>
      <c r="J112" s="98" t="s">
        <v>48</v>
      </c>
      <c r="K112" s="98" t="s">
        <v>63</v>
      </c>
      <c r="L112" s="3"/>
      <c r="M112" s="3"/>
    </row>
    <row r="113" spans="1:13" x14ac:dyDescent="0.2">
      <c r="A113" s="2"/>
      <c r="B113" s="82"/>
      <c r="C113" s="255">
        <f>AG14</f>
        <v>337</v>
      </c>
      <c r="D113" s="256">
        <f>AG15</f>
        <v>5</v>
      </c>
      <c r="E113" s="256">
        <f>AG16</f>
        <v>13.7</v>
      </c>
      <c r="F113" s="257">
        <f>AG17</f>
        <v>48.5</v>
      </c>
      <c r="G113" s="258">
        <f>AG18</f>
        <v>0.73</v>
      </c>
      <c r="H113" s="259">
        <f>AG24</f>
        <v>2.4300000000000002</v>
      </c>
      <c r="I113" s="258">
        <f>IF(AG13&gt;=100,AG25,IF(AE25&lt;0.3,0,AG25))</f>
        <v>0</v>
      </c>
      <c r="J113" s="260">
        <f>IF(AE26&lt;5,0,AG26)</f>
        <v>91</v>
      </c>
      <c r="K113" s="261" t="str">
        <f>AA19&amp;":"&amp;TEXT(AG19,"G/標準")&amp;AH19</f>
        <v>カルシウム:257mg</v>
      </c>
      <c r="L113" s="3"/>
      <c r="M113" s="3"/>
    </row>
    <row r="114" spans="1:13" x14ac:dyDescent="0.2">
      <c r="A114" s="2"/>
      <c r="B114" s="82"/>
      <c r="C114" s="105" t="s">
        <v>49</v>
      </c>
      <c r="D114" s="106" t="s">
        <v>50</v>
      </c>
      <c r="E114" s="106" t="s">
        <v>50</v>
      </c>
      <c r="F114" s="107" t="s">
        <v>50</v>
      </c>
      <c r="G114" s="106" t="s">
        <v>50</v>
      </c>
      <c r="H114" s="107" t="s">
        <v>50</v>
      </c>
      <c r="I114" s="106" t="s">
        <v>50</v>
      </c>
      <c r="J114" s="108" t="s">
        <v>51</v>
      </c>
      <c r="K114" s="171"/>
      <c r="L114" s="3"/>
      <c r="M114" s="3"/>
    </row>
    <row r="115" spans="1:13" x14ac:dyDescent="0.2">
      <c r="A115" s="2"/>
      <c r="B115" s="82"/>
      <c r="C115" s="82"/>
      <c r="D115" s="82"/>
      <c r="E115" s="82"/>
      <c r="F115" s="82"/>
      <c r="G115" s="82"/>
      <c r="H115" s="82"/>
      <c r="I115" s="82"/>
      <c r="J115" s="82"/>
      <c r="K115" s="82"/>
      <c r="L115" s="3"/>
      <c r="M115" s="3"/>
    </row>
    <row r="117" spans="1:13" x14ac:dyDescent="0.2">
      <c r="A117" s="89"/>
    </row>
    <row r="118" spans="1:13" x14ac:dyDescent="0.2">
      <c r="A118" s="89"/>
    </row>
    <row r="119" spans="1:13" x14ac:dyDescent="0.2">
      <c r="A119" s="109"/>
    </row>
    <row r="120" spans="1:13" x14ac:dyDescent="0.2">
      <c r="A120" s="89"/>
    </row>
  </sheetData>
  <mergeCells count="8">
    <mergeCell ref="AK12:AK13"/>
    <mergeCell ref="AA31:AJ31"/>
    <mergeCell ref="G4:H4"/>
    <mergeCell ref="A5:E5"/>
    <mergeCell ref="A6:E6"/>
    <mergeCell ref="AB7:AI7"/>
    <mergeCell ref="AE12:AE13"/>
    <mergeCell ref="AG12:AI12"/>
  </mergeCells>
  <phoneticPr fontId="3"/>
  <conditionalFormatting sqref="AJ1:AJ1048576 AC1:AI6 AC8:AI1048576 AA11:AB1048576 AA1:AB7 AA8:AA10 AB8:AB9">
    <cfRule type="expression" dxfId="29" priority="5" stopIfTrue="1">
      <formula>$A$2="出力なし"</formula>
    </cfRule>
  </conditionalFormatting>
  <conditionalFormatting sqref="AG12:AI12">
    <cfRule type="expression" dxfId="28" priority="10" stopIfTrue="1">
      <formula>NOT(AG12="1個当たり")</formula>
    </cfRule>
  </conditionalFormatting>
  <conditionalFormatting sqref="AA31:AJ31">
    <cfRule type="expression" dxfId="27" priority="9" stopIfTrue="1">
      <formula>NOT(AA31="この表示値は、目安です。")</formula>
    </cfRule>
  </conditionalFormatting>
  <conditionalFormatting sqref="AG26">
    <cfRule type="expression" dxfId="26" priority="8" stopIfTrue="1">
      <formula>IF(AND(COUNTIF($A$6,"&lt;&gt;*様*"),$AE$26&lt;5),TRUE,FALSE)</formula>
    </cfRule>
  </conditionalFormatting>
  <conditionalFormatting sqref="AG25">
    <cfRule type="expression" dxfId="25" priority="7" stopIfTrue="1">
      <formula>IF(AND(COUNTIF($A$6,"&lt;&gt;*様*"),$AG$13&lt;100,$AE$25&lt;0.3),TRUE,FALSE)</formula>
    </cfRule>
  </conditionalFormatting>
  <conditionalFormatting sqref="AE22">
    <cfRule type="expression" dxfId="24" priority="6" stopIfTrue="1">
      <formula>IF($A$4="蒸し物",IF($AE$22&lt;30,TRUE,FALSE),FALSE)</formula>
    </cfRule>
  </conditionalFormatting>
  <conditionalFormatting sqref="Z24">
    <cfRule type="expression" dxfId="23" priority="4" stopIfTrue="1">
      <formula>COUNTIF($Z$24,"*1")</formula>
    </cfRule>
  </conditionalFormatting>
  <conditionalFormatting sqref="Z25">
    <cfRule type="expression" dxfId="22" priority="3" stopIfTrue="1">
      <formula>COUNTIF($Z$25,"*2")</formula>
    </cfRule>
  </conditionalFormatting>
  <conditionalFormatting sqref="AG12:AI12">
    <cfRule type="expression" dxfId="21" priority="2">
      <formula>$A$2="出力なし"</formula>
    </cfRule>
  </conditionalFormatting>
  <conditionalFormatting sqref="AG12:AI12">
    <cfRule type="expression" dxfId="20" priority="1" stopIfTrue="1">
      <formula>NOT(AG12="1個当たり")</formula>
    </cfRule>
  </conditionalFormatting>
  <dataValidations count="2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mdCopy87">
          <controlPr defaultSize="0" autoLine="0" r:id="rId5">
            <anchor moveWithCells="1" sizeWithCells="1">
              <from>
                <xdr:col>14</xdr:col>
                <xdr:colOff>114300</xdr:colOff>
                <xdr:row>86</xdr:row>
                <xdr:rowOff>0</xdr:rowOff>
              </from>
              <to>
                <xdr:col>20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6145" r:id="rId4" name="cmdCopy87"/>
      </mc:Fallback>
    </mc:AlternateContent>
    <mc:AlternateContent xmlns:mc="http://schemas.openxmlformats.org/markup-compatibility/2006">
      <mc:Choice Requires="x14">
        <control shapeId="6146" r:id="rId6" name="cmdClear87">
          <controlPr defaultSize="0" autoLine="0" r:id="rId7">
            <anchor moveWithCells="1" sizeWithCells="1">
              <from>
                <xdr:col>23</xdr:col>
                <xdr:colOff>0</xdr:colOff>
                <xdr:row>86</xdr:row>
                <xdr:rowOff>0</xdr:rowOff>
              </from>
              <to>
                <xdr:col>26</xdr:col>
                <xdr:colOff>9525</xdr:colOff>
                <xdr:row>87</xdr:row>
                <xdr:rowOff>76200</xdr:rowOff>
              </to>
            </anchor>
          </controlPr>
        </control>
      </mc:Choice>
      <mc:Fallback>
        <control shapeId="6146" r:id="rId6" name="cmdClear87"/>
      </mc:Fallback>
    </mc:AlternateContent>
    <mc:AlternateContent xmlns:mc="http://schemas.openxmlformats.org/markup-compatibility/2006">
      <mc:Choice Requires="x14">
        <control shapeId="6147" r:id="rId8" name="cmdCopy104">
          <controlPr defaultSize="0" autoLine="0" r:id="rId9">
            <anchor moveWithCells="1" sizeWithCells="1">
              <from>
                <xdr:col>14</xdr:col>
                <xdr:colOff>114300</xdr:colOff>
                <xdr:row>103</xdr:row>
                <xdr:rowOff>0</xdr:rowOff>
              </from>
              <to>
                <xdr:col>20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6147" r:id="rId8" name="cmdCopy104"/>
      </mc:Fallback>
    </mc:AlternateContent>
    <mc:AlternateContent xmlns:mc="http://schemas.openxmlformats.org/markup-compatibility/2006">
      <mc:Choice Requires="x14">
        <control shapeId="6148" r:id="rId10" name="cmdClear104">
          <controlPr defaultSize="0" autoLine="0" r:id="rId11">
            <anchor moveWithCells="1" sizeWithCells="1">
              <from>
                <xdr:col>22</xdr:col>
                <xdr:colOff>85725</xdr:colOff>
                <xdr:row>103</xdr:row>
                <xdr:rowOff>0</xdr:rowOff>
              </from>
              <to>
                <xdr:col>25</xdr:col>
                <xdr:colOff>581025</xdr:colOff>
                <xdr:row>104</xdr:row>
                <xdr:rowOff>47625</xdr:rowOff>
              </to>
            </anchor>
          </controlPr>
        </control>
      </mc:Choice>
      <mc:Fallback>
        <control shapeId="6148" r:id="rId10" name="cmdClear10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1">
    <pageSetUpPr fitToPage="1"/>
  </sheetPr>
  <dimension ref="A1:AO120"/>
  <sheetViews>
    <sheetView showGridLines="0" zoomScale="70" zoomScaleNormal="70" workbookViewId="0">
      <selection activeCell="A2" sqref="A2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83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 t="s">
        <v>95</v>
      </c>
      <c r="C1" s="184" t="s">
        <v>108</v>
      </c>
      <c r="D1" s="2"/>
      <c r="E1" s="2"/>
      <c r="F1" s="2"/>
      <c r="G1" s="2"/>
      <c r="H1" s="2"/>
      <c r="I1" s="2"/>
      <c r="J1" s="2"/>
      <c r="K1" s="2"/>
      <c r="L1" s="3"/>
      <c r="M1" s="3"/>
      <c r="AA1" s="154" t="s">
        <v>71</v>
      </c>
    </row>
    <row r="2" spans="1:37" x14ac:dyDescent="0.2">
      <c r="A2" s="110" t="s">
        <v>111</v>
      </c>
      <c r="B2" s="2"/>
      <c r="C2" s="184" t="s">
        <v>107</v>
      </c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62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55" t="s">
        <v>76</v>
      </c>
      <c r="B4" s="2"/>
      <c r="C4" s="2"/>
      <c r="D4" s="2"/>
      <c r="E4" s="2"/>
      <c r="F4" s="173" t="s">
        <v>74</v>
      </c>
      <c r="G4" s="194" t="s">
        <v>96</v>
      </c>
      <c r="H4" s="195"/>
      <c r="I4" s="2"/>
      <c r="J4" s="2"/>
      <c r="K4" s="2"/>
      <c r="L4" s="3"/>
      <c r="M4" s="181" t="s">
        <v>102</v>
      </c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96" t="s">
        <v>1</v>
      </c>
      <c r="B5" s="196"/>
      <c r="C5" s="196"/>
      <c r="D5" s="196"/>
      <c r="E5" s="196"/>
      <c r="F5" s="143" t="s">
        <v>66</v>
      </c>
      <c r="G5" s="143" t="s">
        <v>67</v>
      </c>
      <c r="H5" s="143" t="s">
        <v>68</v>
      </c>
      <c r="I5" s="172" t="s">
        <v>78</v>
      </c>
      <c r="J5" s="2"/>
      <c r="K5" s="2" t="s">
        <v>97</v>
      </c>
      <c r="L5" s="3"/>
      <c r="M5" s="8"/>
      <c r="AA5" s="5"/>
      <c r="AB5" s="5"/>
      <c r="AC5" s="5"/>
      <c r="AD5" s="5"/>
      <c r="AE5" s="5"/>
      <c r="AF5" s="5"/>
      <c r="AG5" s="5"/>
      <c r="AH5" s="5"/>
      <c r="AI5" s="5" t="str">
        <f>$I$5</f>
        <v>2026年3月12日</v>
      </c>
      <c r="AJ5" s="5"/>
    </row>
    <row r="6" spans="1:37" ht="21" x14ac:dyDescent="0.2">
      <c r="A6" s="197" t="s">
        <v>104</v>
      </c>
      <c r="B6" s="198"/>
      <c r="C6" s="198"/>
      <c r="D6" s="198"/>
      <c r="E6" s="199"/>
      <c r="F6" s="144" t="s">
        <v>100</v>
      </c>
      <c r="G6" s="145" t="s">
        <v>101</v>
      </c>
      <c r="H6" s="146" t="s">
        <v>77</v>
      </c>
      <c r="I6" s="6"/>
      <c r="J6" s="7"/>
      <c r="K6" s="7" t="s">
        <v>98</v>
      </c>
      <c r="L6" s="8"/>
      <c r="AA6" s="5"/>
      <c r="AB6" s="5"/>
      <c r="AC6" s="5"/>
      <c r="AD6" s="5"/>
      <c r="AE6" s="5"/>
      <c r="AF6" s="14"/>
      <c r="AG6" s="14"/>
      <c r="AH6" s="5"/>
      <c r="AI6" s="5"/>
      <c r="AJ6" s="5"/>
    </row>
    <row r="7" spans="1:37" ht="24" x14ac:dyDescent="0.25">
      <c r="A7" s="147" t="s">
        <v>2</v>
      </c>
      <c r="B7" s="147" t="s">
        <v>3</v>
      </c>
      <c r="C7" s="147" t="s">
        <v>4</v>
      </c>
      <c r="D7" s="147" t="s">
        <v>5</v>
      </c>
      <c r="E7" s="147" t="s">
        <v>6</v>
      </c>
      <c r="F7" s="147" t="s">
        <v>7</v>
      </c>
      <c r="G7" s="147" t="s">
        <v>8</v>
      </c>
      <c r="H7" s="147" t="s">
        <v>9</v>
      </c>
      <c r="I7" s="148" t="s">
        <v>10</v>
      </c>
      <c r="J7" s="149" t="s">
        <v>11</v>
      </c>
      <c r="K7" s="150" t="s">
        <v>12</v>
      </c>
      <c r="L7" s="152" t="s">
        <v>13</v>
      </c>
      <c r="M7" s="142" t="s">
        <v>65</v>
      </c>
      <c r="AA7" s="15" t="s">
        <v>14</v>
      </c>
      <c r="AB7" s="200" t="str">
        <f>IF(COUNTIF($F$6,"1"),CONCATENATE($A$6,"(",$H$6,")"),CONCATENATE($A$6,$F$6,$G$6,"入","(",$H$6,")"))</f>
        <v>2608ｱﾝﾊﾟﾝﾏﾝのﾐﾆ蒸しﾊﾟﾝみるく味3個入(本社)</v>
      </c>
      <c r="AC7" s="200"/>
      <c r="AD7" s="200"/>
      <c r="AE7" s="200"/>
      <c r="AF7" s="200"/>
      <c r="AG7" s="200"/>
      <c r="AH7" s="200"/>
      <c r="AI7" s="200"/>
      <c r="AJ7" s="5"/>
    </row>
    <row r="8" spans="1:37" x14ac:dyDescent="0.2">
      <c r="A8" s="94" t="s">
        <v>79</v>
      </c>
      <c r="B8" s="95">
        <v>120</v>
      </c>
      <c r="C8" s="96">
        <v>0.7</v>
      </c>
      <c r="D8" s="96">
        <v>0</v>
      </c>
      <c r="E8" s="96">
        <v>0</v>
      </c>
      <c r="F8" s="96">
        <v>99.3</v>
      </c>
      <c r="G8" s="96"/>
      <c r="H8" s="96">
        <v>0</v>
      </c>
      <c r="I8" s="96">
        <v>1</v>
      </c>
      <c r="J8" s="96"/>
      <c r="K8" s="96"/>
      <c r="L8" s="96">
        <v>0</v>
      </c>
      <c r="M8" s="180">
        <v>1</v>
      </c>
      <c r="AB8" s="5" t="s">
        <v>103</v>
      </c>
    </row>
    <row r="9" spans="1:37" x14ac:dyDescent="0.2">
      <c r="A9" s="94" t="s">
        <v>80</v>
      </c>
      <c r="B9" s="95">
        <v>30</v>
      </c>
      <c r="C9" s="96">
        <v>37.9</v>
      </c>
      <c r="D9" s="96">
        <v>1.8</v>
      </c>
      <c r="E9" s="96">
        <v>1.7</v>
      </c>
      <c r="F9" s="96">
        <v>58.4</v>
      </c>
      <c r="G9" s="96">
        <v>0.1</v>
      </c>
      <c r="H9" s="96">
        <v>0.1</v>
      </c>
      <c r="I9" s="96">
        <v>29</v>
      </c>
      <c r="J9" s="96">
        <v>0.02</v>
      </c>
      <c r="K9" s="96">
        <v>0.12</v>
      </c>
      <c r="L9" s="96">
        <v>0</v>
      </c>
      <c r="M9" s="136"/>
      <c r="AA9" s="5"/>
      <c r="AB9" s="5" t="s">
        <v>75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94" t="s">
        <v>81</v>
      </c>
      <c r="B10" s="95">
        <v>20</v>
      </c>
      <c r="C10" s="96">
        <v>24.5</v>
      </c>
      <c r="D10" s="96">
        <v>0</v>
      </c>
      <c r="E10" s="96">
        <v>0</v>
      </c>
      <c r="F10" s="96">
        <v>75.5</v>
      </c>
      <c r="G10" s="96">
        <v>0</v>
      </c>
      <c r="H10" s="96">
        <v>0</v>
      </c>
      <c r="I10" s="96">
        <v>0</v>
      </c>
      <c r="J10" s="96">
        <v>0</v>
      </c>
      <c r="K10" s="96">
        <v>0</v>
      </c>
      <c r="L10" s="96">
        <v>0</v>
      </c>
      <c r="M10" s="136"/>
      <c r="AA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94" t="s">
        <v>99</v>
      </c>
      <c r="B11" s="95">
        <v>120</v>
      </c>
      <c r="C11" s="96">
        <v>75</v>
      </c>
      <c r="D11" s="96">
        <v>12.2</v>
      </c>
      <c r="E11" s="96">
        <v>10.199999999999999</v>
      </c>
      <c r="F11" s="96">
        <v>0.4</v>
      </c>
      <c r="G11" s="96">
        <v>0</v>
      </c>
      <c r="H11" s="96">
        <v>1</v>
      </c>
      <c r="I11" s="96">
        <v>140</v>
      </c>
      <c r="J11" s="96"/>
      <c r="K11" s="96">
        <v>3.12</v>
      </c>
      <c r="L11" s="96">
        <v>370</v>
      </c>
      <c r="M11" s="180">
        <v>46</v>
      </c>
      <c r="N11" s="4" t="s">
        <v>82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94" t="s">
        <v>83</v>
      </c>
      <c r="B12" s="95">
        <v>40</v>
      </c>
      <c r="C12" s="96">
        <v>12</v>
      </c>
      <c r="D12" s="96">
        <v>0.2</v>
      </c>
      <c r="E12" s="96">
        <v>0</v>
      </c>
      <c r="F12" s="96">
        <v>86.2</v>
      </c>
      <c r="G12" s="96">
        <v>1.4</v>
      </c>
      <c r="H12" s="96">
        <v>0.2</v>
      </c>
      <c r="I12" s="96">
        <v>7</v>
      </c>
      <c r="J12" s="96">
        <v>0</v>
      </c>
      <c r="K12" s="96">
        <v>0.18</v>
      </c>
      <c r="L12" s="96">
        <v>0</v>
      </c>
      <c r="M12" s="136"/>
      <c r="AA12" s="15" t="s">
        <v>15</v>
      </c>
      <c r="AB12" s="5"/>
      <c r="AC12" s="5"/>
      <c r="AD12" s="16"/>
      <c r="AE12" s="201" t="s">
        <v>58</v>
      </c>
      <c r="AF12" s="141"/>
      <c r="AG12" s="203" t="str">
        <f>"1"&amp;$G$6&amp;"当たり"</f>
        <v>1包装当たり</v>
      </c>
      <c r="AH12" s="203"/>
      <c r="AI12" s="203"/>
      <c r="AJ12" s="17"/>
      <c r="AK12" s="192" t="s">
        <v>44</v>
      </c>
    </row>
    <row r="13" spans="1:37" ht="24.75" x14ac:dyDescent="0.25">
      <c r="A13" s="94" t="s">
        <v>84</v>
      </c>
      <c r="B13" s="95">
        <v>5</v>
      </c>
      <c r="C13" s="96">
        <v>14.2</v>
      </c>
      <c r="D13" s="96">
        <v>8.3000000000000007</v>
      </c>
      <c r="E13" s="96">
        <v>1.5</v>
      </c>
      <c r="F13" s="96">
        <v>73.13</v>
      </c>
      <c r="G13" s="96">
        <v>2.5</v>
      </c>
      <c r="H13" s="96">
        <v>0.37</v>
      </c>
      <c r="I13" s="96">
        <v>0</v>
      </c>
      <c r="J13" s="96"/>
      <c r="K13" s="96">
        <v>0.34</v>
      </c>
      <c r="L13" s="96">
        <v>0</v>
      </c>
      <c r="M13" s="180">
        <v>20</v>
      </c>
      <c r="AA13" s="5"/>
      <c r="AB13" s="5"/>
      <c r="AC13" s="5"/>
      <c r="AD13" s="18"/>
      <c r="AE13" s="202"/>
      <c r="AF13" s="16"/>
      <c r="AG13" s="169">
        <f>IF((COUNTIF($A$6,"*7P*")+COUNTIF($A$6,"*ｾﾌﾞﾝﾌﾟﾚﾐｱﾑ*")),$B$106,ROUND($B$102,0))</f>
        <v>99</v>
      </c>
      <c r="AH13" s="20" t="s">
        <v>16</v>
      </c>
      <c r="AI13" s="19"/>
      <c r="AJ13" s="21"/>
      <c r="AK13" s="192"/>
    </row>
    <row r="14" spans="1:37" s="22" customFormat="1" ht="22.5" x14ac:dyDescent="0.25">
      <c r="A14" s="94" t="s">
        <v>85</v>
      </c>
      <c r="B14" s="95">
        <v>5</v>
      </c>
      <c r="C14" s="96">
        <v>14.2</v>
      </c>
      <c r="D14" s="96">
        <v>0.1</v>
      </c>
      <c r="E14" s="96">
        <v>0.2</v>
      </c>
      <c r="F14" s="96">
        <v>85.3</v>
      </c>
      <c r="G14" s="96">
        <v>0</v>
      </c>
      <c r="H14" s="96">
        <v>0.2</v>
      </c>
      <c r="I14" s="96">
        <v>59</v>
      </c>
      <c r="J14" s="96">
        <v>0</v>
      </c>
      <c r="K14" s="96">
        <v>0.02</v>
      </c>
      <c r="L14" s="96">
        <v>0</v>
      </c>
      <c r="M14" s="136"/>
      <c r="N14" s="4"/>
      <c r="O14" s="4"/>
      <c r="AA14" s="23" t="str">
        <f>IF(COUNTIF(A6,"*FM*"),"熱量","エネルギー")</f>
        <v>エネルギー</v>
      </c>
      <c r="AB14" s="24"/>
      <c r="AC14" s="25"/>
      <c r="AD14" s="25"/>
      <c r="AE14" s="26">
        <f>$C$108</f>
        <v>338</v>
      </c>
      <c r="AF14" s="27"/>
      <c r="AG14" s="26">
        <f>ROUND((AG15+AG17)*4+(AG16*9),0)</f>
        <v>335</v>
      </c>
      <c r="AH14" s="25" t="s">
        <v>49</v>
      </c>
      <c r="AI14" s="28"/>
      <c r="AJ14" s="24"/>
      <c r="AK14" s="93">
        <v>0</v>
      </c>
    </row>
    <row r="15" spans="1:37" ht="22.5" x14ac:dyDescent="0.25">
      <c r="A15" s="94" t="s">
        <v>84</v>
      </c>
      <c r="B15" s="95">
        <v>50</v>
      </c>
      <c r="C15" s="96">
        <v>14.2</v>
      </c>
      <c r="D15" s="96">
        <v>8.3000000000000007</v>
      </c>
      <c r="E15" s="96">
        <v>1.5</v>
      </c>
      <c r="F15" s="96">
        <v>73.13</v>
      </c>
      <c r="G15" s="96">
        <v>2.5</v>
      </c>
      <c r="H15" s="96">
        <v>0.37</v>
      </c>
      <c r="I15" s="96">
        <v>0</v>
      </c>
      <c r="J15" s="96"/>
      <c r="K15" s="96">
        <v>0.34</v>
      </c>
      <c r="L15" s="96">
        <v>0</v>
      </c>
      <c r="M15" s="136"/>
      <c r="AA15" s="29" t="s">
        <v>17</v>
      </c>
      <c r="AB15" s="30"/>
      <c r="AC15" s="25"/>
      <c r="AD15" s="25"/>
      <c r="AE15" s="28">
        <f>$D$104</f>
        <v>4.7</v>
      </c>
      <c r="AF15" s="27"/>
      <c r="AG15" s="28">
        <f>ROUND(($AG$13*AE15)/100,1)</f>
        <v>4.7</v>
      </c>
      <c r="AH15" s="25" t="s">
        <v>59</v>
      </c>
      <c r="AI15" s="28"/>
      <c r="AJ15" s="30"/>
      <c r="AK15" s="93">
        <v>1</v>
      </c>
    </row>
    <row r="16" spans="1:37" ht="22.5" x14ac:dyDescent="0.25">
      <c r="A16" s="94" t="s">
        <v>86</v>
      </c>
      <c r="B16" s="95">
        <v>3</v>
      </c>
      <c r="C16" s="96">
        <v>0.4</v>
      </c>
      <c r="D16" s="96">
        <v>0</v>
      </c>
      <c r="E16" s="96">
        <v>0.1</v>
      </c>
      <c r="F16" s="96">
        <v>35.299999999999997</v>
      </c>
      <c r="G16" s="96">
        <v>0</v>
      </c>
      <c r="H16" s="96">
        <v>64.2</v>
      </c>
      <c r="I16" s="96">
        <v>14345</v>
      </c>
      <c r="J16" s="96">
        <v>0</v>
      </c>
      <c r="K16" s="96">
        <v>0.04</v>
      </c>
      <c r="L16" s="96">
        <v>0</v>
      </c>
      <c r="M16" s="182">
        <v>0</v>
      </c>
      <c r="N16" s="22"/>
      <c r="O16" s="22"/>
      <c r="AA16" s="29" t="s">
        <v>18</v>
      </c>
      <c r="AB16" s="25"/>
      <c r="AC16" s="25"/>
      <c r="AD16" s="25"/>
      <c r="AE16" s="28">
        <f>$E$104</f>
        <v>13.3</v>
      </c>
      <c r="AF16" s="27"/>
      <c r="AG16" s="28">
        <f>ROUND(($AG$13*AE16)/100,1)</f>
        <v>13.2</v>
      </c>
      <c r="AH16" s="25" t="s">
        <v>59</v>
      </c>
      <c r="AI16" s="28"/>
      <c r="AJ16" s="30"/>
      <c r="AK16" s="93">
        <v>1</v>
      </c>
    </row>
    <row r="17" spans="1:41" ht="22.5" x14ac:dyDescent="0.25">
      <c r="A17" s="94" t="s">
        <v>87</v>
      </c>
      <c r="B17" s="95">
        <v>4</v>
      </c>
      <c r="C17" s="96">
        <v>0.2</v>
      </c>
      <c r="D17" s="96">
        <v>57.1</v>
      </c>
      <c r="E17" s="96">
        <v>0.7</v>
      </c>
      <c r="F17" s="96">
        <v>14.8</v>
      </c>
      <c r="G17" s="96">
        <v>0</v>
      </c>
      <c r="H17" s="96">
        <v>27.2</v>
      </c>
      <c r="I17" s="96">
        <v>10000</v>
      </c>
      <c r="J17" s="96">
        <v>0</v>
      </c>
      <c r="K17" s="96">
        <v>0.4</v>
      </c>
      <c r="L17" s="96">
        <v>0</v>
      </c>
      <c r="M17" s="183"/>
      <c r="AA17" s="29" t="s">
        <v>20</v>
      </c>
      <c r="AB17" s="30"/>
      <c r="AC17" s="25"/>
      <c r="AD17" s="25"/>
      <c r="AE17" s="28">
        <f>$F$106</f>
        <v>49.9</v>
      </c>
      <c r="AF17" s="27"/>
      <c r="AG17" s="28">
        <f>ROUND(($AG$13*AE17)/100,1)</f>
        <v>49.4</v>
      </c>
      <c r="AH17" s="25" t="s">
        <v>59</v>
      </c>
      <c r="AI17" s="28"/>
      <c r="AJ17" s="30"/>
      <c r="AK17" s="93">
        <v>1</v>
      </c>
    </row>
    <row r="18" spans="1:41" ht="22.5" x14ac:dyDescent="0.25">
      <c r="A18" s="94" t="s">
        <v>88</v>
      </c>
      <c r="B18" s="95">
        <v>3</v>
      </c>
      <c r="C18" s="96">
        <v>0.3</v>
      </c>
      <c r="D18" s="96">
        <v>2.1</v>
      </c>
      <c r="E18" s="96">
        <v>0.1</v>
      </c>
      <c r="F18" s="96">
        <v>0.7</v>
      </c>
      <c r="G18" s="96">
        <v>0</v>
      </c>
      <c r="H18" s="96">
        <v>96.8</v>
      </c>
      <c r="I18" s="96">
        <v>76</v>
      </c>
      <c r="J18" s="96">
        <v>0</v>
      </c>
      <c r="K18" s="96">
        <v>0</v>
      </c>
      <c r="L18" s="96">
        <v>3</v>
      </c>
      <c r="M18" s="182">
        <v>38000</v>
      </c>
      <c r="AA18" s="29" t="s">
        <v>21</v>
      </c>
      <c r="AB18" s="30"/>
      <c r="AC18" s="25"/>
      <c r="AD18" s="25"/>
      <c r="AE18" s="162">
        <f>IF($AE$21&lt;4.5,0,ROUND($AE$21/1000*2.54,2))</f>
        <v>0.74</v>
      </c>
      <c r="AF18" s="163"/>
      <c r="AG18" s="162">
        <f>IF($AE$21&lt;4.5,0,ROUND($AG$21/1000*2.54,2))</f>
        <v>0.73</v>
      </c>
      <c r="AH18" s="25" t="s">
        <v>59</v>
      </c>
      <c r="AI18" s="33"/>
      <c r="AJ18" s="30"/>
      <c r="AK18" s="93">
        <f>IF($AE$21&lt;4.5,0,2)</f>
        <v>2</v>
      </c>
    </row>
    <row r="19" spans="1:41" ht="22.5" x14ac:dyDescent="0.25">
      <c r="A19" s="94" t="s">
        <v>89</v>
      </c>
      <c r="B19" s="95">
        <v>1</v>
      </c>
      <c r="C19" s="96">
        <v>0.1</v>
      </c>
      <c r="D19" s="96">
        <v>0</v>
      </c>
      <c r="E19" s="96">
        <v>0</v>
      </c>
      <c r="F19" s="96">
        <v>0</v>
      </c>
      <c r="G19" s="96">
        <v>0</v>
      </c>
      <c r="H19" s="96">
        <v>99.9</v>
      </c>
      <c r="I19" s="96">
        <v>39000</v>
      </c>
      <c r="J19" s="96">
        <v>0</v>
      </c>
      <c r="K19" s="96">
        <v>0</v>
      </c>
      <c r="L19" s="96">
        <v>0</v>
      </c>
      <c r="M19" s="180">
        <v>0</v>
      </c>
      <c r="AA19" s="29" t="str">
        <f>IF($M$7="","",$M$7)</f>
        <v>カルシウム</v>
      </c>
      <c r="AB19" s="30"/>
      <c r="AC19" s="153"/>
      <c r="AD19" s="25"/>
      <c r="AE19" s="26">
        <f>$M$104</f>
        <v>255</v>
      </c>
      <c r="AF19" s="27"/>
      <c r="AG19" s="139">
        <f>ROUNDDOWN(($AG$13*AE19)/100,0)</f>
        <v>252</v>
      </c>
      <c r="AH19" s="153" t="s">
        <v>60</v>
      </c>
      <c r="AI19" s="26"/>
      <c r="AJ19" s="30"/>
      <c r="AK19" s="93">
        <v>0</v>
      </c>
    </row>
    <row r="20" spans="1:41" ht="22.5" x14ac:dyDescent="0.25">
      <c r="A20" s="94" t="s">
        <v>90</v>
      </c>
      <c r="B20" s="95">
        <v>15</v>
      </c>
      <c r="C20" s="96">
        <v>87.4</v>
      </c>
      <c r="D20" s="96">
        <v>3.3</v>
      </c>
      <c r="E20" s="96">
        <v>3.8</v>
      </c>
      <c r="F20" s="96">
        <v>4.8</v>
      </c>
      <c r="G20" s="96">
        <v>0</v>
      </c>
      <c r="H20" s="96">
        <v>0.7</v>
      </c>
      <c r="I20" s="96">
        <v>41</v>
      </c>
      <c r="J20" s="96">
        <v>0.14000000000000001</v>
      </c>
      <c r="K20" s="96">
        <v>2.33</v>
      </c>
      <c r="L20" s="96">
        <v>12</v>
      </c>
      <c r="M20" s="180">
        <v>110</v>
      </c>
      <c r="N20" s="4" t="s">
        <v>91</v>
      </c>
      <c r="AA20" s="29"/>
      <c r="AB20" s="30"/>
      <c r="AC20" s="25"/>
      <c r="AD20" s="25"/>
      <c r="AE20" s="33"/>
      <c r="AF20" s="27"/>
      <c r="AG20" s="33"/>
      <c r="AH20" s="25"/>
      <c r="AI20" s="33"/>
      <c r="AJ20" s="30"/>
    </row>
    <row r="21" spans="1:41" ht="22.5" x14ac:dyDescent="0.25">
      <c r="A21" s="94" t="s">
        <v>92</v>
      </c>
      <c r="B21" s="95">
        <v>50</v>
      </c>
      <c r="C21" s="96">
        <v>0</v>
      </c>
      <c r="D21" s="96">
        <v>0</v>
      </c>
      <c r="E21" s="96">
        <v>100</v>
      </c>
      <c r="F21" s="96">
        <v>0</v>
      </c>
      <c r="G21" s="96">
        <v>0</v>
      </c>
      <c r="H21" s="96">
        <v>0</v>
      </c>
      <c r="I21" s="96">
        <v>0</v>
      </c>
      <c r="J21" s="96">
        <v>1.3</v>
      </c>
      <c r="K21" s="96">
        <v>14.9</v>
      </c>
      <c r="L21" s="96">
        <v>1</v>
      </c>
      <c r="M21" s="183"/>
      <c r="AA21" s="29" t="s">
        <v>22</v>
      </c>
      <c r="AB21" s="30"/>
      <c r="AC21" s="25"/>
      <c r="AD21" s="25"/>
      <c r="AE21" s="26">
        <f>$I$104</f>
        <v>292</v>
      </c>
      <c r="AF21" s="27"/>
      <c r="AG21" s="140">
        <f>ROUND(($AG$13*AE21)/100,0)</f>
        <v>289</v>
      </c>
      <c r="AH21" s="25" t="s">
        <v>60</v>
      </c>
      <c r="AI21" s="26"/>
      <c r="AJ21" s="30"/>
    </row>
    <row r="22" spans="1:41" ht="22.5" x14ac:dyDescent="0.25">
      <c r="A22" s="94"/>
      <c r="B22" s="95"/>
      <c r="C22" s="96"/>
      <c r="D22" s="96"/>
      <c r="E22" s="96"/>
      <c r="F22" s="96"/>
      <c r="G22" s="96"/>
      <c r="H22" s="96"/>
      <c r="I22" s="96"/>
      <c r="J22" s="96"/>
      <c r="K22" s="96"/>
      <c r="L22" s="96"/>
      <c r="M22" s="136"/>
      <c r="AA22" s="29" t="s">
        <v>23</v>
      </c>
      <c r="AB22" s="36"/>
      <c r="AC22" s="37"/>
      <c r="AD22" s="37"/>
      <c r="AE22" s="38">
        <f>$C$104</f>
        <v>30.3</v>
      </c>
      <c r="AF22" s="39"/>
      <c r="AG22" s="38">
        <f>ROUND(($AG$13*AE22)/100,1)</f>
        <v>30</v>
      </c>
      <c r="AH22" s="37" t="s">
        <v>59</v>
      </c>
      <c r="AI22" s="38"/>
      <c r="AJ22" s="33"/>
    </row>
    <row r="23" spans="1:41" ht="21" x14ac:dyDescent="0.2">
      <c r="A23" s="94" t="s">
        <v>93</v>
      </c>
      <c r="B23" s="95">
        <v>7</v>
      </c>
      <c r="C23" s="96">
        <v>40.9</v>
      </c>
      <c r="D23" s="96">
        <v>0</v>
      </c>
      <c r="E23" s="96">
        <v>0.05</v>
      </c>
      <c r="F23" s="96">
        <v>0.05</v>
      </c>
      <c r="G23" s="96"/>
      <c r="H23" s="96">
        <v>0</v>
      </c>
      <c r="I23" s="96">
        <v>1.03</v>
      </c>
      <c r="J23" s="96"/>
      <c r="K23" s="96"/>
      <c r="L23" s="96"/>
      <c r="M23" s="136"/>
      <c r="AA23" s="29" t="s">
        <v>26</v>
      </c>
      <c r="AB23" s="36"/>
      <c r="AC23" s="37"/>
      <c r="AD23" s="37"/>
      <c r="AE23" s="40">
        <f>$H$104</f>
        <v>1.8</v>
      </c>
      <c r="AF23" s="164"/>
      <c r="AG23" s="40">
        <f>ROUND(($AG$13*AE23)/100,1)</f>
        <v>1.8</v>
      </c>
      <c r="AH23" s="37" t="s">
        <v>59</v>
      </c>
      <c r="AI23" s="38"/>
      <c r="AJ23" s="36"/>
    </row>
    <row r="24" spans="1:41" ht="22.5" x14ac:dyDescent="0.25">
      <c r="A24" s="94"/>
      <c r="B24" s="95"/>
      <c r="C24" s="96"/>
      <c r="D24" s="96"/>
      <c r="E24" s="96"/>
      <c r="F24" s="96"/>
      <c r="G24" s="96"/>
      <c r="H24" s="96"/>
      <c r="I24" s="96"/>
      <c r="J24" s="96"/>
      <c r="K24" s="96"/>
      <c r="L24" s="96"/>
      <c r="M24" s="136"/>
      <c r="N24" s="4">
        <f t="shared" ref="N24:N37" si="0">SUM(C24:H24)</f>
        <v>0</v>
      </c>
      <c r="Z24" s="4" t="str">
        <f>IF(AG24&lt;15,"","＊1")</f>
        <v/>
      </c>
      <c r="AA24" s="29" t="s">
        <v>12</v>
      </c>
      <c r="AB24" s="25"/>
      <c r="AC24" s="25"/>
      <c r="AD24" s="25"/>
      <c r="AE24" s="162">
        <f>$K$104</f>
        <v>2.4500000000000002</v>
      </c>
      <c r="AF24" s="163"/>
      <c r="AG24" s="162">
        <f>ROUND(($AG$13*AE24)/100,2)</f>
        <v>2.4300000000000002</v>
      </c>
      <c r="AH24" s="25" t="s">
        <v>59</v>
      </c>
      <c r="AI24" s="33"/>
      <c r="AJ24" s="30"/>
      <c r="AK24" s="93">
        <v>2</v>
      </c>
    </row>
    <row r="25" spans="1:41" ht="22.7" customHeight="1" x14ac:dyDescent="0.25">
      <c r="A25" s="94"/>
      <c r="B25" s="95"/>
      <c r="C25" s="96"/>
      <c r="D25" s="96"/>
      <c r="E25" s="96"/>
      <c r="F25" s="96"/>
      <c r="G25" s="96"/>
      <c r="H25" s="96"/>
      <c r="I25" s="96"/>
      <c r="J25" s="96"/>
      <c r="K25" s="96"/>
      <c r="L25" s="96"/>
      <c r="M25" s="136"/>
      <c r="N25" s="4">
        <f t="shared" si="0"/>
        <v>0</v>
      </c>
      <c r="Z25" s="4" t="str">
        <f>IF(OR(AND(AE25&gt;=0.3,AG25*VALUE(F6)&gt;=0.45),AE25&gt;=0.45,AND(AG13&gt;=100,AG25*VALUE(F6)&gt;=0.45)),"＊2","")</f>
        <v/>
      </c>
      <c r="AA25" s="29" t="s">
        <v>28</v>
      </c>
      <c r="AB25" s="25"/>
      <c r="AC25" s="25"/>
      <c r="AD25" s="25"/>
      <c r="AE25" s="162">
        <f>$J$104</f>
        <v>0.14000000000000001</v>
      </c>
      <c r="AF25" s="43"/>
      <c r="AG25" s="162">
        <f>ROUND(($AG$13*AE25)/100,2)</f>
        <v>0.14000000000000001</v>
      </c>
      <c r="AH25" s="25" t="s">
        <v>59</v>
      </c>
      <c r="AI25" s="33"/>
      <c r="AJ25" s="30"/>
      <c r="AK25" s="93">
        <v>2</v>
      </c>
    </row>
    <row r="26" spans="1:41" ht="22.5" x14ac:dyDescent="0.25">
      <c r="A26" s="94"/>
      <c r="B26" s="95"/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136"/>
      <c r="N26" s="4">
        <f t="shared" si="0"/>
        <v>0</v>
      </c>
      <c r="AA26" s="29" t="s">
        <v>29</v>
      </c>
      <c r="AB26" s="25"/>
      <c r="AC26" s="25"/>
      <c r="AD26" s="25"/>
      <c r="AE26" s="85">
        <f>$L$104</f>
        <v>92</v>
      </c>
      <c r="AF26" s="43"/>
      <c r="AG26" s="139">
        <f>ROUND(($AG$13*AE26)/100,0)</f>
        <v>91</v>
      </c>
      <c r="AH26" s="25" t="s">
        <v>60</v>
      </c>
      <c r="AI26" s="33"/>
      <c r="AJ26" s="30"/>
      <c r="AK26" s="93">
        <v>0</v>
      </c>
    </row>
    <row r="27" spans="1:41" x14ac:dyDescent="0.2">
      <c r="A27" s="94"/>
      <c r="B27" s="95"/>
      <c r="C27" s="96"/>
      <c r="D27" s="96"/>
      <c r="E27" s="96"/>
      <c r="F27" s="96"/>
      <c r="G27" s="96"/>
      <c r="H27" s="96"/>
      <c r="I27" s="96"/>
      <c r="J27" s="96"/>
      <c r="K27" s="96"/>
      <c r="L27" s="96"/>
      <c r="M27" s="136"/>
      <c r="N27" s="4">
        <f t="shared" si="0"/>
        <v>0</v>
      </c>
    </row>
    <row r="28" spans="1:41" x14ac:dyDescent="0.2">
      <c r="A28" s="94"/>
      <c r="B28" s="95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136"/>
      <c r="N28" s="4">
        <f t="shared" si="0"/>
        <v>0</v>
      </c>
    </row>
    <row r="29" spans="1:41" x14ac:dyDescent="0.2">
      <c r="A29" s="94"/>
      <c r="B29" s="95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136"/>
      <c r="N29" s="4">
        <f t="shared" si="0"/>
        <v>0</v>
      </c>
    </row>
    <row r="30" spans="1:41" x14ac:dyDescent="0.2">
      <c r="A30" s="94"/>
      <c r="B30" s="95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136"/>
      <c r="N30" s="4">
        <f t="shared" si="0"/>
        <v>0</v>
      </c>
    </row>
    <row r="31" spans="1:41" ht="21" x14ac:dyDescent="0.2">
      <c r="A31" s="94"/>
      <c r="B31" s="95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136"/>
      <c r="N31" s="4">
        <f t="shared" si="0"/>
        <v>0</v>
      </c>
      <c r="V31" s="47"/>
      <c r="W31" s="47"/>
      <c r="AA31" s="193" t="s">
        <v>64</v>
      </c>
      <c r="AB31" s="193"/>
      <c r="AC31" s="193"/>
      <c r="AD31" s="193"/>
      <c r="AE31" s="193"/>
      <c r="AF31" s="193"/>
      <c r="AG31" s="193"/>
      <c r="AH31" s="193"/>
      <c r="AI31" s="193"/>
      <c r="AJ31" s="193"/>
    </row>
    <row r="32" spans="1:41" x14ac:dyDescent="0.2">
      <c r="A32" s="94"/>
      <c r="B32" s="95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136"/>
      <c r="N32" s="4">
        <f t="shared" si="0"/>
        <v>0</v>
      </c>
      <c r="V32" s="47"/>
      <c r="W32" s="47"/>
      <c r="AA32" s="44"/>
      <c r="AB32" s="5"/>
      <c r="AC32" s="5"/>
      <c r="AD32" s="5"/>
      <c r="AE32" s="5"/>
      <c r="AF32" s="5"/>
      <c r="AG32" s="5"/>
      <c r="AH32" s="5"/>
      <c r="AI32" s="5"/>
      <c r="AJ32" s="5"/>
      <c r="AL32" s="45"/>
      <c r="AM32" s="45"/>
      <c r="AN32" s="46"/>
      <c r="AO32" s="47"/>
    </row>
    <row r="33" spans="1:41" x14ac:dyDescent="0.2">
      <c r="A33" s="94"/>
      <c r="B33" s="95"/>
      <c r="C33" s="96"/>
      <c r="D33" s="96"/>
      <c r="E33" s="96"/>
      <c r="F33" s="96"/>
      <c r="G33" s="96"/>
      <c r="H33" s="96"/>
      <c r="I33" s="96"/>
      <c r="J33" s="96"/>
      <c r="K33" s="96"/>
      <c r="L33" s="96"/>
      <c r="M33" s="136"/>
      <c r="N33" s="4">
        <f t="shared" si="0"/>
        <v>0</v>
      </c>
      <c r="V33" s="47"/>
      <c r="W33" s="47"/>
      <c r="AA33" s="44"/>
      <c r="AB33" s="5"/>
      <c r="AC33" s="5"/>
      <c r="AD33" s="5"/>
      <c r="AE33" s="5"/>
      <c r="AF33" s="5"/>
      <c r="AG33" s="5"/>
      <c r="AH33" s="5"/>
      <c r="AI33" s="5"/>
      <c r="AJ33" s="5"/>
      <c r="AL33" s="45"/>
      <c r="AM33" s="45"/>
      <c r="AN33" s="49"/>
      <c r="AO33" s="47"/>
    </row>
    <row r="34" spans="1:41" x14ac:dyDescent="0.2">
      <c r="A34" s="94"/>
      <c r="B34" s="95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136"/>
      <c r="N34" s="4">
        <f t="shared" si="0"/>
        <v>0</v>
      </c>
      <c r="V34" s="47"/>
      <c r="W34" s="47"/>
      <c r="AB34" s="5"/>
      <c r="AH34" s="5"/>
      <c r="AI34" s="5"/>
      <c r="AJ34" s="5"/>
      <c r="AL34" s="45"/>
      <c r="AM34" s="45"/>
      <c r="AN34" s="49"/>
      <c r="AO34" s="47"/>
    </row>
    <row r="35" spans="1:41" ht="21" x14ac:dyDescent="0.2">
      <c r="A35" s="94"/>
      <c r="B35" s="95"/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136"/>
      <c r="N35" s="4">
        <f t="shared" si="0"/>
        <v>0</v>
      </c>
      <c r="V35" s="47"/>
      <c r="W35" s="47"/>
      <c r="AA35" s="5"/>
      <c r="AB35" s="5"/>
      <c r="AC35" s="91" t="s">
        <v>30</v>
      </c>
      <c r="AD35" s="91"/>
      <c r="AE35" s="48">
        <f>B84</f>
        <v>0</v>
      </c>
      <c r="AF35" s="14" t="s">
        <v>31</v>
      </c>
      <c r="AG35" s="5"/>
      <c r="AH35" s="5"/>
      <c r="AI35" s="5"/>
      <c r="AJ35" s="5"/>
      <c r="AK35" s="58"/>
      <c r="AL35" s="45"/>
      <c r="AM35" s="45"/>
      <c r="AN35" s="49"/>
      <c r="AO35" s="47"/>
    </row>
    <row r="36" spans="1:41" x14ac:dyDescent="0.2">
      <c r="A36" s="94"/>
      <c r="B36" s="95"/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136"/>
      <c r="N36" s="4">
        <f t="shared" si="0"/>
        <v>0</v>
      </c>
      <c r="R36" s="47"/>
      <c r="V36" s="47"/>
      <c r="W36" s="47"/>
      <c r="AA36" s="44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45"/>
      <c r="AC36" s="52"/>
      <c r="AD36" s="47"/>
      <c r="AE36" s="5"/>
      <c r="AF36" s="5"/>
      <c r="AG36" s="5"/>
      <c r="AK36" s="59"/>
      <c r="AL36" s="45"/>
      <c r="AM36" s="45"/>
      <c r="AN36" s="52"/>
      <c r="AO36" s="47"/>
    </row>
    <row r="37" spans="1:41" x14ac:dyDescent="0.2">
      <c r="A37" s="94" t="s">
        <v>94</v>
      </c>
      <c r="B37" s="95">
        <v>10</v>
      </c>
      <c r="C37" s="96">
        <v>100</v>
      </c>
      <c r="D37" s="96"/>
      <c r="E37" s="96"/>
      <c r="F37" s="96"/>
      <c r="G37" s="96"/>
      <c r="H37" s="96"/>
      <c r="I37" s="96"/>
      <c r="J37" s="96"/>
      <c r="K37" s="96"/>
      <c r="L37" s="96"/>
      <c r="M37" s="136"/>
      <c r="N37" s="4">
        <f t="shared" si="0"/>
        <v>100</v>
      </c>
      <c r="R37" s="47"/>
      <c r="V37" s="47"/>
      <c r="W37" s="47"/>
      <c r="AA37" s="111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45"/>
      <c r="AC37" s="49"/>
      <c r="AD37" s="47"/>
      <c r="AE37" s="5"/>
      <c r="AF37" s="5"/>
      <c r="AG37" s="5"/>
      <c r="AL37" s="45"/>
      <c r="AM37" s="45"/>
      <c r="AN37" s="49"/>
      <c r="AO37" s="47"/>
    </row>
    <row r="38" spans="1:41" x14ac:dyDescent="0.2">
      <c r="A38" s="6"/>
      <c r="B38" s="6"/>
      <c r="C38" s="6"/>
      <c r="D38" s="6"/>
      <c r="E38" s="6"/>
      <c r="F38" s="6"/>
      <c r="G38" s="6"/>
      <c r="H38" s="6"/>
      <c r="I38" s="34"/>
      <c r="J38" s="6"/>
      <c r="K38" s="6"/>
      <c r="L38" s="35"/>
      <c r="M38" s="127"/>
      <c r="N38" s="92"/>
      <c r="R38" s="47"/>
      <c r="V38" s="47"/>
      <c r="W38" s="47"/>
      <c r="AA38" s="44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45"/>
      <c r="AC38" s="49"/>
      <c r="AD38" s="47"/>
      <c r="AL38" s="45"/>
      <c r="AM38" s="45"/>
      <c r="AN38" s="49"/>
      <c r="AO38" s="47"/>
    </row>
    <row r="39" spans="1:41" x14ac:dyDescent="0.2">
      <c r="A39" s="147" t="s">
        <v>24</v>
      </c>
      <c r="B39" s="147" t="s">
        <v>19</v>
      </c>
      <c r="C39" s="147" t="s">
        <v>4</v>
      </c>
      <c r="D39" s="147" t="s">
        <v>5</v>
      </c>
      <c r="E39" s="147" t="s">
        <v>6</v>
      </c>
      <c r="F39" s="147" t="s">
        <v>7</v>
      </c>
      <c r="G39" s="147" t="s">
        <v>8</v>
      </c>
      <c r="H39" s="147" t="s">
        <v>9</v>
      </c>
      <c r="I39" s="148" t="s">
        <v>25</v>
      </c>
      <c r="J39" s="149" t="s">
        <v>69</v>
      </c>
      <c r="K39" s="150" t="s">
        <v>70</v>
      </c>
      <c r="L39" s="151" t="s">
        <v>48</v>
      </c>
      <c r="M39" s="125" t="str">
        <f>M7</f>
        <v>カルシウム</v>
      </c>
      <c r="Q39" s="46"/>
      <c r="R39" s="47"/>
      <c r="AA39" s="45"/>
      <c r="AB39" s="45"/>
      <c r="AC39" s="52"/>
      <c r="AD39" s="47"/>
      <c r="AL39" s="45"/>
      <c r="AM39" s="45"/>
      <c r="AN39" s="52"/>
      <c r="AO39" s="47"/>
    </row>
    <row r="40" spans="1:41" x14ac:dyDescent="0.2">
      <c r="A40" s="31" t="s">
        <v>27</v>
      </c>
      <c r="B40" s="185">
        <v>99</v>
      </c>
      <c r="C40" s="41"/>
      <c r="D40" s="41"/>
      <c r="E40" s="41"/>
      <c r="F40" s="41"/>
      <c r="G40" s="41"/>
      <c r="H40" s="41"/>
      <c r="I40" s="42"/>
      <c r="J40" s="32"/>
      <c r="K40" s="84"/>
      <c r="L40" s="13"/>
      <c r="M40" s="138"/>
      <c r="N40" s="4">
        <f t="shared" ref="N40:N49" si="1">SUM(C40:H40)</f>
        <v>0</v>
      </c>
      <c r="Q40" s="49"/>
      <c r="R40" s="47"/>
      <c r="AA40" s="57"/>
    </row>
    <row r="41" spans="1:41" x14ac:dyDescent="0.2">
      <c r="A41" s="94"/>
      <c r="B41" s="95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136"/>
      <c r="N41" s="4">
        <f t="shared" si="1"/>
        <v>0</v>
      </c>
      <c r="P41" s="45"/>
      <c r="Q41" s="49"/>
      <c r="R41" s="47"/>
      <c r="AA41" s="57"/>
      <c r="AI41" s="58"/>
      <c r="AJ41" s="58"/>
    </row>
    <row r="42" spans="1:41" x14ac:dyDescent="0.2">
      <c r="A42" s="94"/>
      <c r="B42" s="95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136"/>
      <c r="N42" s="4">
        <f t="shared" si="1"/>
        <v>0</v>
      </c>
      <c r="P42" s="45"/>
      <c r="Q42" s="49"/>
      <c r="R42" s="47"/>
      <c r="AA42" s="57"/>
      <c r="AI42" s="58"/>
      <c r="AJ42" s="58"/>
    </row>
    <row r="43" spans="1:41" x14ac:dyDescent="0.2">
      <c r="A43" s="156"/>
      <c r="B43" s="168"/>
      <c r="C43" s="157"/>
      <c r="D43" s="157"/>
      <c r="E43" s="157"/>
      <c r="F43" s="157"/>
      <c r="G43" s="157"/>
      <c r="H43" s="157"/>
      <c r="I43" s="157"/>
      <c r="J43" s="158"/>
      <c r="K43" s="159"/>
      <c r="L43" s="157"/>
      <c r="M43" s="136"/>
      <c r="N43" s="4">
        <f t="shared" si="1"/>
        <v>0</v>
      </c>
      <c r="O43" s="45"/>
      <c r="P43" s="45"/>
      <c r="Q43" s="52"/>
      <c r="R43" s="47"/>
      <c r="AC43" s="58"/>
      <c r="AD43" s="58"/>
      <c r="AI43" s="59"/>
      <c r="AJ43" s="59"/>
    </row>
    <row r="44" spans="1:41" x14ac:dyDescent="0.2">
      <c r="A44" s="94"/>
      <c r="B44" s="160"/>
      <c r="C44" s="96"/>
      <c r="D44" s="96"/>
      <c r="E44" s="96"/>
      <c r="F44" s="96"/>
      <c r="G44" s="96"/>
      <c r="H44" s="96"/>
      <c r="I44" s="96"/>
      <c r="J44" s="96"/>
      <c r="K44" s="96"/>
      <c r="L44" s="137"/>
      <c r="M44" s="136"/>
      <c r="N44" s="4">
        <f t="shared" si="1"/>
        <v>0</v>
      </c>
      <c r="O44" s="45"/>
      <c r="P44" s="45"/>
      <c r="Q44" s="49"/>
      <c r="AC44" s="59"/>
      <c r="AD44" s="59"/>
    </row>
    <row r="45" spans="1:41" x14ac:dyDescent="0.2">
      <c r="A45" s="94"/>
      <c r="B45" s="160"/>
      <c r="C45" s="96"/>
      <c r="D45" s="96"/>
      <c r="E45" s="96"/>
      <c r="F45" s="96"/>
      <c r="G45" s="96"/>
      <c r="H45" s="96"/>
      <c r="I45" s="96"/>
      <c r="J45" s="96"/>
      <c r="K45" s="96"/>
      <c r="L45" s="137"/>
      <c r="M45" s="136"/>
      <c r="N45" s="4">
        <f t="shared" si="1"/>
        <v>0</v>
      </c>
      <c r="O45" s="45"/>
      <c r="P45" s="45"/>
      <c r="Q45" s="49"/>
    </row>
    <row r="46" spans="1:41" x14ac:dyDescent="0.2">
      <c r="A46" s="94"/>
      <c r="B46" s="160"/>
      <c r="C46" s="96"/>
      <c r="D46" s="96"/>
      <c r="E46" s="96"/>
      <c r="F46" s="96"/>
      <c r="G46" s="96"/>
      <c r="H46" s="96"/>
      <c r="I46" s="96"/>
      <c r="J46" s="96"/>
      <c r="K46" s="96"/>
      <c r="L46" s="137"/>
      <c r="M46" s="136"/>
      <c r="N46" s="4">
        <f t="shared" si="1"/>
        <v>0</v>
      </c>
      <c r="O46" s="45"/>
      <c r="P46" s="45"/>
      <c r="Q46" s="52"/>
      <c r="AC46" s="58"/>
      <c r="AD46" s="58"/>
    </row>
    <row r="47" spans="1:41" x14ac:dyDescent="0.2">
      <c r="A47" s="94"/>
      <c r="B47" s="160"/>
      <c r="C47" s="96"/>
      <c r="D47" s="96"/>
      <c r="E47" s="96"/>
      <c r="F47" s="96"/>
      <c r="G47" s="96"/>
      <c r="H47" s="96"/>
      <c r="I47" s="96"/>
      <c r="J47" s="96"/>
      <c r="K47" s="96"/>
      <c r="L47" s="137"/>
      <c r="M47" s="136"/>
      <c r="N47" s="4">
        <f t="shared" si="1"/>
        <v>0</v>
      </c>
      <c r="O47" s="45"/>
      <c r="P47" s="45"/>
      <c r="AC47" s="59"/>
      <c r="AD47" s="59"/>
    </row>
    <row r="48" spans="1:41" x14ac:dyDescent="0.2">
      <c r="A48" s="94"/>
      <c r="B48" s="160"/>
      <c r="C48" s="96"/>
      <c r="D48" s="96"/>
      <c r="E48" s="96"/>
      <c r="F48" s="96"/>
      <c r="G48" s="96"/>
      <c r="H48" s="96"/>
      <c r="I48" s="96"/>
      <c r="J48" s="96"/>
      <c r="K48" s="96"/>
      <c r="L48" s="137"/>
      <c r="M48" s="136"/>
      <c r="N48" s="4">
        <f t="shared" si="1"/>
        <v>0</v>
      </c>
      <c r="O48" s="45"/>
      <c r="P48" s="45"/>
    </row>
    <row r="49" spans="1:33" x14ac:dyDescent="0.2">
      <c r="A49" s="94"/>
      <c r="B49" s="160"/>
      <c r="C49" s="96"/>
      <c r="D49" s="96"/>
      <c r="E49" s="96"/>
      <c r="F49" s="96"/>
      <c r="G49" s="96"/>
      <c r="H49" s="96"/>
      <c r="I49" s="96"/>
      <c r="J49" s="96"/>
      <c r="K49" s="96"/>
      <c r="L49" s="137"/>
      <c r="M49" s="136"/>
      <c r="N49" s="4">
        <f t="shared" si="1"/>
        <v>0</v>
      </c>
      <c r="O49" s="45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0"/>
      <c r="J50" s="7"/>
      <c r="K50" s="7"/>
      <c r="L50" s="51"/>
      <c r="M50" s="135"/>
      <c r="O50" s="45"/>
    </row>
    <row r="51" spans="1:33" x14ac:dyDescent="0.2">
      <c r="A51" s="53" t="s">
        <v>32</v>
      </c>
      <c r="B51" s="6"/>
      <c r="C51" s="53" t="s">
        <v>32</v>
      </c>
      <c r="D51" s="53" t="s">
        <v>32</v>
      </c>
      <c r="E51" s="6"/>
      <c r="F51" s="6"/>
      <c r="G51" s="6"/>
      <c r="H51" s="6"/>
      <c r="I51" s="34"/>
      <c r="J51" s="6"/>
      <c r="K51" s="6"/>
      <c r="L51" s="54"/>
      <c r="M51" s="134"/>
    </row>
    <row r="52" spans="1:33" x14ac:dyDescent="0.2">
      <c r="A52" s="9" t="s">
        <v>2</v>
      </c>
      <c r="B52" s="9" t="s">
        <v>33</v>
      </c>
      <c r="C52" s="9" t="s">
        <v>4</v>
      </c>
      <c r="D52" s="9" t="s">
        <v>5</v>
      </c>
      <c r="E52" s="9" t="s">
        <v>6</v>
      </c>
      <c r="F52" s="9" t="s">
        <v>7</v>
      </c>
      <c r="G52" s="9" t="s">
        <v>8</v>
      </c>
      <c r="H52" s="9" t="s">
        <v>9</v>
      </c>
      <c r="I52" s="10" t="s">
        <v>25</v>
      </c>
      <c r="J52" s="11" t="s">
        <v>11</v>
      </c>
      <c r="K52" s="12" t="s">
        <v>12</v>
      </c>
      <c r="L52" s="126" t="s">
        <v>13</v>
      </c>
      <c r="M52" s="125" t="str">
        <f>M7</f>
        <v>カルシウム</v>
      </c>
    </row>
    <row r="53" spans="1:33" x14ac:dyDescent="0.2">
      <c r="A53" s="94" t="str">
        <f>IF(A8="","",A8)</f>
        <v>KH1 上白糖</v>
      </c>
      <c r="B53" s="161">
        <f>IF(B8="","",B8)</f>
        <v>120</v>
      </c>
      <c r="C53" s="55">
        <f t="shared" ref="C53:C82" si="2">C8*B53/100</f>
        <v>0.84</v>
      </c>
      <c r="D53" s="55">
        <f t="shared" ref="D53:D82" si="3">D8*B53/100</f>
        <v>0</v>
      </c>
      <c r="E53" s="55">
        <f t="shared" ref="E53:E82" si="4">E8*B53/100</f>
        <v>0</v>
      </c>
      <c r="F53" s="55">
        <f t="shared" ref="F53:F82" si="5">F8*B53/100</f>
        <v>119.16</v>
      </c>
      <c r="G53" s="55">
        <f t="shared" ref="G53:G82" si="6">G8*B53/100</f>
        <v>0</v>
      </c>
      <c r="H53" s="55">
        <f t="shared" ref="H53:H82" si="7">H8*B53/100</f>
        <v>0</v>
      </c>
      <c r="I53" s="56">
        <f t="shared" ref="I53:I82" si="8">I8*B53/100</f>
        <v>1.2</v>
      </c>
      <c r="J53" s="56">
        <f t="shared" ref="J53:J82" si="9">J8*B53/100</f>
        <v>0</v>
      </c>
      <c r="K53" s="56">
        <f t="shared" ref="K53:K82" si="10">K8*B53/100</f>
        <v>0</v>
      </c>
      <c r="L53" s="132">
        <f t="shared" ref="L53:L82" si="11">L8*B53/100</f>
        <v>0</v>
      </c>
      <c r="M53" s="131">
        <f t="shared" ref="M53:M82" si="12">M8*B53/100</f>
        <v>1.2</v>
      </c>
    </row>
    <row r="54" spans="1:33" x14ac:dyDescent="0.2">
      <c r="A54" s="94" t="str">
        <f t="shared" ref="A54:B69" si="13">IF(A9="","",A9)</f>
        <v>ﾇｰﾎﾞﾘｰﾑYK-29</v>
      </c>
      <c r="B54" s="161">
        <f t="shared" si="13"/>
        <v>30</v>
      </c>
      <c r="C54" s="55">
        <f t="shared" si="2"/>
        <v>11.37</v>
      </c>
      <c r="D54" s="55">
        <f t="shared" si="3"/>
        <v>0.54</v>
      </c>
      <c r="E54" s="55">
        <f t="shared" si="4"/>
        <v>0.51</v>
      </c>
      <c r="F54" s="55">
        <f t="shared" si="5"/>
        <v>17.52</v>
      </c>
      <c r="G54" s="55">
        <f t="shared" si="6"/>
        <v>0.03</v>
      </c>
      <c r="H54" s="55">
        <f t="shared" si="7"/>
        <v>0.03</v>
      </c>
      <c r="I54" s="56">
        <f t="shared" si="8"/>
        <v>8.6999999999999993</v>
      </c>
      <c r="J54" s="56">
        <f t="shared" si="9"/>
        <v>6.0000000000000001E-3</v>
      </c>
      <c r="K54" s="56">
        <f t="shared" si="10"/>
        <v>3.5999999999999997E-2</v>
      </c>
      <c r="L54" s="132">
        <f t="shared" si="11"/>
        <v>0</v>
      </c>
      <c r="M54" s="131">
        <f t="shared" si="12"/>
        <v>0</v>
      </c>
    </row>
    <row r="55" spans="1:33" x14ac:dyDescent="0.2">
      <c r="A55" s="94" t="str">
        <f t="shared" si="13"/>
        <v>ｺｰﾝｼｭｶﾞｰA-30(ﾛｰﾘｰ)</v>
      </c>
      <c r="B55" s="161">
        <f t="shared" si="13"/>
        <v>20</v>
      </c>
      <c r="C55" s="55">
        <f t="shared" si="2"/>
        <v>4.9000000000000004</v>
      </c>
      <c r="D55" s="55">
        <f t="shared" si="3"/>
        <v>0</v>
      </c>
      <c r="E55" s="55">
        <f t="shared" si="4"/>
        <v>0</v>
      </c>
      <c r="F55" s="55">
        <f t="shared" si="5"/>
        <v>15.1</v>
      </c>
      <c r="G55" s="55">
        <f t="shared" si="6"/>
        <v>0</v>
      </c>
      <c r="H55" s="55">
        <f t="shared" si="7"/>
        <v>0</v>
      </c>
      <c r="I55" s="56">
        <f t="shared" si="8"/>
        <v>0</v>
      </c>
      <c r="J55" s="56">
        <f t="shared" si="9"/>
        <v>0</v>
      </c>
      <c r="K55" s="56">
        <f t="shared" si="10"/>
        <v>0</v>
      </c>
      <c r="L55" s="132">
        <f t="shared" si="11"/>
        <v>0</v>
      </c>
      <c r="M55" s="131">
        <f t="shared" si="12"/>
        <v>0</v>
      </c>
      <c r="AA55" s="87"/>
    </row>
    <row r="56" spans="1:33" x14ac:dyDescent="0.2">
      <c r="A56" s="94" t="str">
        <f t="shared" si="13"/>
        <v>全卵/生</v>
      </c>
      <c r="B56" s="161">
        <f t="shared" si="13"/>
        <v>120</v>
      </c>
      <c r="C56" s="55">
        <f t="shared" si="2"/>
        <v>90</v>
      </c>
      <c r="D56" s="55">
        <f t="shared" si="3"/>
        <v>14.64</v>
      </c>
      <c r="E56" s="55">
        <f t="shared" si="4"/>
        <v>12.24</v>
      </c>
      <c r="F56" s="55">
        <f t="shared" si="5"/>
        <v>0.48</v>
      </c>
      <c r="G56" s="55">
        <f t="shared" si="6"/>
        <v>0</v>
      </c>
      <c r="H56" s="55">
        <f t="shared" si="7"/>
        <v>1.2</v>
      </c>
      <c r="I56" s="56">
        <f t="shared" si="8"/>
        <v>168</v>
      </c>
      <c r="J56" s="56">
        <f t="shared" si="9"/>
        <v>0</v>
      </c>
      <c r="K56" s="56">
        <f t="shared" si="10"/>
        <v>3.7440000000000002</v>
      </c>
      <c r="L56" s="132">
        <f t="shared" si="11"/>
        <v>444</v>
      </c>
      <c r="M56" s="131">
        <f t="shared" si="12"/>
        <v>55.2</v>
      </c>
      <c r="AA56" s="87"/>
    </row>
    <row r="57" spans="1:33" x14ac:dyDescent="0.2">
      <c r="A57" s="94" t="str">
        <f t="shared" si="13"/>
        <v>白雪(青)</v>
      </c>
      <c r="B57" s="161">
        <f t="shared" si="13"/>
        <v>40</v>
      </c>
      <c r="C57" s="55">
        <f t="shared" si="2"/>
        <v>4.8</v>
      </c>
      <c r="D57" s="55">
        <f t="shared" si="3"/>
        <v>0.08</v>
      </c>
      <c r="E57" s="55">
        <f t="shared" si="4"/>
        <v>0</v>
      </c>
      <c r="F57" s="55">
        <f t="shared" si="5"/>
        <v>34.479999999999997</v>
      </c>
      <c r="G57" s="55">
        <f t="shared" si="6"/>
        <v>0.56000000000000005</v>
      </c>
      <c r="H57" s="55">
        <f t="shared" si="7"/>
        <v>0.08</v>
      </c>
      <c r="I57" s="56">
        <f t="shared" si="8"/>
        <v>2.8</v>
      </c>
      <c r="J57" s="56">
        <f t="shared" si="9"/>
        <v>0</v>
      </c>
      <c r="K57" s="56">
        <f t="shared" si="10"/>
        <v>7.1999999999999995E-2</v>
      </c>
      <c r="L57" s="132">
        <f t="shared" si="11"/>
        <v>0</v>
      </c>
      <c r="M57" s="131">
        <f t="shared" si="12"/>
        <v>0</v>
      </c>
    </row>
    <row r="58" spans="1:33" x14ac:dyDescent="0.2">
      <c r="A58" s="94" t="str">
        <f t="shared" si="13"/>
        <v>ﾌｼﾞ薄力粉</v>
      </c>
      <c r="B58" s="161">
        <f t="shared" si="13"/>
        <v>5</v>
      </c>
      <c r="C58" s="55">
        <f t="shared" si="2"/>
        <v>0.71</v>
      </c>
      <c r="D58" s="55">
        <f t="shared" si="3"/>
        <v>0.41499999999999998</v>
      </c>
      <c r="E58" s="55">
        <f t="shared" si="4"/>
        <v>7.4999999999999997E-2</v>
      </c>
      <c r="F58" s="55">
        <f t="shared" si="5"/>
        <v>3.6564999999999999</v>
      </c>
      <c r="G58" s="55">
        <f t="shared" si="6"/>
        <v>0.125</v>
      </c>
      <c r="H58" s="55">
        <f t="shared" si="7"/>
        <v>1.8500000000000003E-2</v>
      </c>
      <c r="I58" s="56">
        <f t="shared" si="8"/>
        <v>0</v>
      </c>
      <c r="J58" s="56">
        <f t="shared" si="9"/>
        <v>0</v>
      </c>
      <c r="K58" s="56">
        <f t="shared" si="10"/>
        <v>1.7000000000000001E-2</v>
      </c>
      <c r="L58" s="132">
        <f t="shared" si="11"/>
        <v>0</v>
      </c>
      <c r="M58" s="131">
        <f t="shared" si="12"/>
        <v>1</v>
      </c>
    </row>
    <row r="59" spans="1:33" x14ac:dyDescent="0.2">
      <c r="A59" s="94" t="str">
        <f t="shared" si="13"/>
        <v>ﾌｰﾄﾞｽﾀｰﾁTB</v>
      </c>
      <c r="B59" s="161">
        <f t="shared" si="13"/>
        <v>5</v>
      </c>
      <c r="C59" s="55">
        <f t="shared" si="2"/>
        <v>0.71</v>
      </c>
      <c r="D59" s="55">
        <f t="shared" si="3"/>
        <v>5.0000000000000001E-3</v>
      </c>
      <c r="E59" s="55">
        <f t="shared" si="4"/>
        <v>0.01</v>
      </c>
      <c r="F59" s="55">
        <f t="shared" si="5"/>
        <v>4.2649999999999997</v>
      </c>
      <c r="G59" s="55">
        <f t="shared" si="6"/>
        <v>0</v>
      </c>
      <c r="H59" s="55">
        <f t="shared" si="7"/>
        <v>0.01</v>
      </c>
      <c r="I59" s="56">
        <f t="shared" si="8"/>
        <v>2.95</v>
      </c>
      <c r="J59" s="56">
        <f t="shared" si="9"/>
        <v>0</v>
      </c>
      <c r="K59" s="56">
        <f t="shared" si="10"/>
        <v>1E-3</v>
      </c>
      <c r="L59" s="132">
        <f t="shared" si="11"/>
        <v>0</v>
      </c>
      <c r="M59" s="131">
        <f t="shared" si="12"/>
        <v>0</v>
      </c>
    </row>
    <row r="60" spans="1:33" x14ac:dyDescent="0.2">
      <c r="A60" s="94" t="str">
        <f t="shared" si="13"/>
        <v>ﾌｼﾞ薄力粉</v>
      </c>
      <c r="B60" s="161">
        <f t="shared" si="13"/>
        <v>50</v>
      </c>
      <c r="C60" s="55">
        <f t="shared" si="2"/>
        <v>7.1</v>
      </c>
      <c r="D60" s="55">
        <f t="shared" si="3"/>
        <v>4.1500000000000004</v>
      </c>
      <c r="E60" s="55">
        <f t="shared" si="4"/>
        <v>0.75</v>
      </c>
      <c r="F60" s="55">
        <f t="shared" si="5"/>
        <v>36.564999999999998</v>
      </c>
      <c r="G60" s="55">
        <f t="shared" si="6"/>
        <v>1.25</v>
      </c>
      <c r="H60" s="55">
        <f t="shared" si="7"/>
        <v>0.185</v>
      </c>
      <c r="I60" s="56">
        <f t="shared" si="8"/>
        <v>0</v>
      </c>
      <c r="J60" s="56">
        <f t="shared" si="9"/>
        <v>0</v>
      </c>
      <c r="K60" s="56">
        <f t="shared" si="10"/>
        <v>0.17</v>
      </c>
      <c r="L60" s="132">
        <f t="shared" si="11"/>
        <v>0</v>
      </c>
      <c r="M60" s="131">
        <f t="shared" si="12"/>
        <v>0</v>
      </c>
    </row>
    <row r="61" spans="1:33" x14ac:dyDescent="0.2">
      <c r="A61" s="94" t="str">
        <f t="shared" si="13"/>
        <v>ﾍﾞｰｷﾝｸﾞﾊﾟｳﾀﾞｰ蒸しﾊﾟﾝ用#1</v>
      </c>
      <c r="B61" s="161">
        <f t="shared" si="13"/>
        <v>3</v>
      </c>
      <c r="C61" s="55">
        <f t="shared" si="2"/>
        <v>1.2000000000000002E-2</v>
      </c>
      <c r="D61" s="55">
        <f t="shared" si="3"/>
        <v>0</v>
      </c>
      <c r="E61" s="55">
        <f t="shared" si="4"/>
        <v>3.0000000000000005E-3</v>
      </c>
      <c r="F61" s="55">
        <f t="shared" si="5"/>
        <v>1.0589999999999999</v>
      </c>
      <c r="G61" s="55">
        <f t="shared" si="6"/>
        <v>0</v>
      </c>
      <c r="H61" s="55">
        <f t="shared" si="7"/>
        <v>1.9260000000000002</v>
      </c>
      <c r="I61" s="56">
        <f t="shared" si="8"/>
        <v>430.35</v>
      </c>
      <c r="J61" s="56">
        <f t="shared" si="9"/>
        <v>0</v>
      </c>
      <c r="K61" s="56">
        <f t="shared" si="10"/>
        <v>1.1999999999999999E-3</v>
      </c>
      <c r="L61" s="132">
        <f t="shared" si="11"/>
        <v>0</v>
      </c>
      <c r="M61" s="131">
        <f t="shared" si="12"/>
        <v>0</v>
      </c>
    </row>
    <row r="62" spans="1:33" x14ac:dyDescent="0.2">
      <c r="A62" s="94" t="str">
        <f t="shared" si="13"/>
        <v>ﾌﾟﾗｽﾀｲﾑNE-300MC</v>
      </c>
      <c r="B62" s="161">
        <f t="shared" si="13"/>
        <v>4</v>
      </c>
      <c r="C62" s="55">
        <f t="shared" si="2"/>
        <v>8.0000000000000002E-3</v>
      </c>
      <c r="D62" s="55">
        <f t="shared" si="3"/>
        <v>2.2840000000000003</v>
      </c>
      <c r="E62" s="55">
        <f t="shared" si="4"/>
        <v>2.7999999999999997E-2</v>
      </c>
      <c r="F62" s="55">
        <f t="shared" si="5"/>
        <v>0.59200000000000008</v>
      </c>
      <c r="G62" s="55">
        <f t="shared" si="6"/>
        <v>0</v>
      </c>
      <c r="H62" s="55">
        <f t="shared" si="7"/>
        <v>1.0880000000000001</v>
      </c>
      <c r="I62" s="56">
        <f t="shared" si="8"/>
        <v>400</v>
      </c>
      <c r="J62" s="56">
        <f t="shared" si="9"/>
        <v>0</v>
      </c>
      <c r="K62" s="56">
        <f t="shared" si="10"/>
        <v>1.6E-2</v>
      </c>
      <c r="L62" s="132">
        <f t="shared" si="11"/>
        <v>0</v>
      </c>
      <c r="M62" s="131">
        <f t="shared" si="12"/>
        <v>0</v>
      </c>
      <c r="AA62" s="86" t="s">
        <v>42</v>
      </c>
    </row>
    <row r="63" spans="1:33" x14ac:dyDescent="0.2">
      <c r="A63" s="94" t="str">
        <f t="shared" si="13"/>
        <v>ｶﾙﾎｰﾌﾟ</v>
      </c>
      <c r="B63" s="161">
        <f t="shared" si="13"/>
        <v>3</v>
      </c>
      <c r="C63" s="55">
        <f t="shared" si="2"/>
        <v>8.9999999999999993E-3</v>
      </c>
      <c r="D63" s="55">
        <f t="shared" si="3"/>
        <v>6.3E-2</v>
      </c>
      <c r="E63" s="55">
        <f t="shared" si="4"/>
        <v>3.0000000000000005E-3</v>
      </c>
      <c r="F63" s="55">
        <f t="shared" si="5"/>
        <v>2.0999999999999998E-2</v>
      </c>
      <c r="G63" s="55">
        <f t="shared" si="6"/>
        <v>0</v>
      </c>
      <c r="H63" s="55">
        <f t="shared" si="7"/>
        <v>2.9039999999999999</v>
      </c>
      <c r="I63" s="56">
        <f t="shared" si="8"/>
        <v>2.2799999999999998</v>
      </c>
      <c r="J63" s="56">
        <f t="shared" si="9"/>
        <v>0</v>
      </c>
      <c r="K63" s="56">
        <f t="shared" si="10"/>
        <v>0</v>
      </c>
      <c r="L63" s="132">
        <f t="shared" si="11"/>
        <v>0.09</v>
      </c>
      <c r="M63" s="131">
        <f t="shared" si="12"/>
        <v>1140</v>
      </c>
      <c r="AA63" s="112" t="s">
        <v>52</v>
      </c>
    </row>
    <row r="64" spans="1:33" ht="18.75" x14ac:dyDescent="0.3">
      <c r="A64" s="94" t="str">
        <f t="shared" si="13"/>
        <v>鳴門食塩</v>
      </c>
      <c r="B64" s="161">
        <f t="shared" si="13"/>
        <v>1</v>
      </c>
      <c r="C64" s="55">
        <f t="shared" si="2"/>
        <v>1E-3</v>
      </c>
      <c r="D64" s="55">
        <f t="shared" si="3"/>
        <v>0</v>
      </c>
      <c r="E64" s="55">
        <f t="shared" si="4"/>
        <v>0</v>
      </c>
      <c r="F64" s="55">
        <f t="shared" si="5"/>
        <v>0</v>
      </c>
      <c r="G64" s="55">
        <f t="shared" si="6"/>
        <v>0</v>
      </c>
      <c r="H64" s="55">
        <f t="shared" si="7"/>
        <v>0.99900000000000011</v>
      </c>
      <c r="I64" s="56">
        <f t="shared" si="8"/>
        <v>390</v>
      </c>
      <c r="J64" s="56">
        <f t="shared" si="9"/>
        <v>0</v>
      </c>
      <c r="K64" s="56">
        <f t="shared" si="10"/>
        <v>0</v>
      </c>
      <c r="L64" s="132">
        <f t="shared" si="11"/>
        <v>0</v>
      </c>
      <c r="M64" s="131">
        <f t="shared" si="12"/>
        <v>0</v>
      </c>
      <c r="AA64" s="87" t="s">
        <v>53</v>
      </c>
      <c r="AC64" s="88"/>
      <c r="AE64" s="88"/>
      <c r="AF64" s="133"/>
      <c r="AG64" s="88"/>
    </row>
    <row r="65" spans="1:27" x14ac:dyDescent="0.2">
      <c r="A65" s="94" t="str">
        <f t="shared" si="13"/>
        <v>明治北海道牛乳10L(5L×2袋)</v>
      </c>
      <c r="B65" s="161">
        <f t="shared" si="13"/>
        <v>15</v>
      </c>
      <c r="C65" s="55">
        <f t="shared" si="2"/>
        <v>13.11</v>
      </c>
      <c r="D65" s="55">
        <f t="shared" si="3"/>
        <v>0.495</v>
      </c>
      <c r="E65" s="55">
        <f t="shared" si="4"/>
        <v>0.56999999999999995</v>
      </c>
      <c r="F65" s="55">
        <f t="shared" si="5"/>
        <v>0.72</v>
      </c>
      <c r="G65" s="55">
        <f t="shared" si="6"/>
        <v>0</v>
      </c>
      <c r="H65" s="55">
        <f t="shared" si="7"/>
        <v>0.105</v>
      </c>
      <c r="I65" s="56">
        <f t="shared" si="8"/>
        <v>6.15</v>
      </c>
      <c r="J65" s="56">
        <f t="shared" si="9"/>
        <v>2.1000000000000001E-2</v>
      </c>
      <c r="K65" s="56">
        <f t="shared" si="10"/>
        <v>0.34950000000000003</v>
      </c>
      <c r="L65" s="132">
        <f t="shared" si="11"/>
        <v>1.8</v>
      </c>
      <c r="M65" s="131">
        <f t="shared" si="12"/>
        <v>16.5</v>
      </c>
    </row>
    <row r="66" spans="1:27" x14ac:dyDescent="0.2">
      <c r="A66" s="94" t="str">
        <f t="shared" si="13"/>
        <v>ｼﾞｾﾙｶﾞﾄｰSC 16kg缶</v>
      </c>
      <c r="B66" s="161">
        <f t="shared" si="13"/>
        <v>50</v>
      </c>
      <c r="C66" s="55">
        <f t="shared" si="2"/>
        <v>0</v>
      </c>
      <c r="D66" s="55">
        <f t="shared" si="3"/>
        <v>0</v>
      </c>
      <c r="E66" s="55">
        <f t="shared" si="4"/>
        <v>50</v>
      </c>
      <c r="F66" s="55">
        <f t="shared" si="5"/>
        <v>0</v>
      </c>
      <c r="G66" s="55">
        <f t="shared" si="6"/>
        <v>0</v>
      </c>
      <c r="H66" s="55">
        <f t="shared" si="7"/>
        <v>0</v>
      </c>
      <c r="I66" s="56">
        <f t="shared" si="8"/>
        <v>0</v>
      </c>
      <c r="J66" s="56">
        <f t="shared" si="9"/>
        <v>0.65</v>
      </c>
      <c r="K66" s="56">
        <f t="shared" si="10"/>
        <v>7.45</v>
      </c>
      <c r="L66" s="132">
        <f t="shared" si="11"/>
        <v>0.5</v>
      </c>
      <c r="M66" s="131">
        <f t="shared" si="12"/>
        <v>0</v>
      </c>
    </row>
    <row r="67" spans="1:27" x14ac:dyDescent="0.2">
      <c r="A67" s="94" t="str">
        <f t="shared" si="13"/>
        <v/>
      </c>
      <c r="B67" s="161" t="str">
        <f t="shared" si="13"/>
        <v/>
      </c>
      <c r="C67" s="55">
        <f t="shared" si="2"/>
        <v>0</v>
      </c>
      <c r="D67" s="55">
        <f t="shared" si="3"/>
        <v>0</v>
      </c>
      <c r="E67" s="55">
        <f t="shared" si="4"/>
        <v>0</v>
      </c>
      <c r="F67" s="55">
        <f t="shared" si="5"/>
        <v>0</v>
      </c>
      <c r="G67" s="55">
        <f t="shared" si="6"/>
        <v>0</v>
      </c>
      <c r="H67" s="55">
        <f t="shared" si="7"/>
        <v>0</v>
      </c>
      <c r="I67" s="56">
        <f t="shared" si="8"/>
        <v>0</v>
      </c>
      <c r="J67" s="56">
        <f t="shared" si="9"/>
        <v>0</v>
      </c>
      <c r="K67" s="56">
        <f t="shared" si="10"/>
        <v>0</v>
      </c>
      <c r="L67" s="132">
        <f t="shared" si="11"/>
        <v>0</v>
      </c>
      <c r="M67" s="131">
        <f t="shared" si="12"/>
        <v>0</v>
      </c>
    </row>
    <row r="68" spans="1:27" x14ac:dyDescent="0.2">
      <c r="A68" s="94" t="str">
        <f t="shared" si="13"/>
        <v>ﾒｲｵｰﾙ NEO67</v>
      </c>
      <c r="B68" s="161">
        <f t="shared" si="13"/>
        <v>7</v>
      </c>
      <c r="C68" s="55">
        <f t="shared" si="2"/>
        <v>2.863</v>
      </c>
      <c r="D68" s="55">
        <f t="shared" si="3"/>
        <v>0</v>
      </c>
      <c r="E68" s="55">
        <f t="shared" si="4"/>
        <v>3.5000000000000005E-3</v>
      </c>
      <c r="F68" s="55">
        <f t="shared" si="5"/>
        <v>3.5000000000000005E-3</v>
      </c>
      <c r="G68" s="55">
        <f t="shared" si="6"/>
        <v>0</v>
      </c>
      <c r="H68" s="55">
        <f t="shared" si="7"/>
        <v>0</v>
      </c>
      <c r="I68" s="56">
        <f t="shared" si="8"/>
        <v>7.2099999999999997E-2</v>
      </c>
      <c r="J68" s="56">
        <f t="shared" si="9"/>
        <v>0</v>
      </c>
      <c r="K68" s="56">
        <f t="shared" si="10"/>
        <v>0</v>
      </c>
      <c r="L68" s="132">
        <f t="shared" si="11"/>
        <v>0</v>
      </c>
      <c r="M68" s="131">
        <f t="shared" si="12"/>
        <v>0</v>
      </c>
    </row>
    <row r="69" spans="1:27" x14ac:dyDescent="0.2">
      <c r="A69" s="94" t="str">
        <f t="shared" si="13"/>
        <v/>
      </c>
      <c r="B69" s="161" t="str">
        <f t="shared" si="13"/>
        <v/>
      </c>
      <c r="C69" s="55">
        <f t="shared" si="2"/>
        <v>0</v>
      </c>
      <c r="D69" s="55">
        <f t="shared" si="3"/>
        <v>0</v>
      </c>
      <c r="E69" s="55">
        <f t="shared" si="4"/>
        <v>0</v>
      </c>
      <c r="F69" s="55">
        <f t="shared" si="5"/>
        <v>0</v>
      </c>
      <c r="G69" s="55">
        <f t="shared" si="6"/>
        <v>0</v>
      </c>
      <c r="H69" s="55">
        <f t="shared" si="7"/>
        <v>0</v>
      </c>
      <c r="I69" s="56">
        <f t="shared" si="8"/>
        <v>0</v>
      </c>
      <c r="J69" s="56">
        <f t="shared" si="9"/>
        <v>0</v>
      </c>
      <c r="K69" s="56">
        <f t="shared" si="10"/>
        <v>0</v>
      </c>
      <c r="L69" s="132">
        <f t="shared" si="11"/>
        <v>0</v>
      </c>
      <c r="M69" s="131">
        <f t="shared" si="12"/>
        <v>0</v>
      </c>
    </row>
    <row r="70" spans="1:27" x14ac:dyDescent="0.2">
      <c r="A70" s="94" t="str">
        <f t="shared" ref="A70:B82" si="14">IF(A25="","",A25)</f>
        <v/>
      </c>
      <c r="B70" s="161" t="str">
        <f t="shared" si="14"/>
        <v/>
      </c>
      <c r="C70" s="55">
        <f t="shared" si="2"/>
        <v>0</v>
      </c>
      <c r="D70" s="55">
        <f t="shared" si="3"/>
        <v>0</v>
      </c>
      <c r="E70" s="55">
        <f t="shared" si="4"/>
        <v>0</v>
      </c>
      <c r="F70" s="55">
        <f t="shared" si="5"/>
        <v>0</v>
      </c>
      <c r="G70" s="55">
        <f t="shared" si="6"/>
        <v>0</v>
      </c>
      <c r="H70" s="55">
        <f t="shared" si="7"/>
        <v>0</v>
      </c>
      <c r="I70" s="56">
        <f t="shared" si="8"/>
        <v>0</v>
      </c>
      <c r="J70" s="56">
        <f t="shared" si="9"/>
        <v>0</v>
      </c>
      <c r="K70" s="56">
        <f t="shared" si="10"/>
        <v>0</v>
      </c>
      <c r="L70" s="132">
        <f t="shared" si="11"/>
        <v>0</v>
      </c>
      <c r="M70" s="131">
        <f t="shared" si="12"/>
        <v>0</v>
      </c>
    </row>
    <row r="71" spans="1:27" ht="18.75" x14ac:dyDescent="0.3">
      <c r="A71" s="94" t="str">
        <f t="shared" si="14"/>
        <v/>
      </c>
      <c r="B71" s="161" t="str">
        <f t="shared" si="14"/>
        <v/>
      </c>
      <c r="C71" s="55">
        <f t="shared" si="2"/>
        <v>0</v>
      </c>
      <c r="D71" s="55">
        <f t="shared" si="3"/>
        <v>0</v>
      </c>
      <c r="E71" s="55">
        <f t="shared" si="4"/>
        <v>0</v>
      </c>
      <c r="F71" s="55">
        <f t="shared" si="5"/>
        <v>0</v>
      </c>
      <c r="G71" s="55">
        <f t="shared" si="6"/>
        <v>0</v>
      </c>
      <c r="H71" s="55">
        <f t="shared" si="7"/>
        <v>0</v>
      </c>
      <c r="I71" s="56">
        <f t="shared" si="8"/>
        <v>0</v>
      </c>
      <c r="J71" s="56">
        <f t="shared" si="9"/>
        <v>0</v>
      </c>
      <c r="K71" s="56">
        <f t="shared" si="10"/>
        <v>0</v>
      </c>
      <c r="L71" s="132">
        <f t="shared" si="11"/>
        <v>0</v>
      </c>
      <c r="M71" s="131">
        <f t="shared" si="12"/>
        <v>0</v>
      </c>
      <c r="AA71" s="88" t="s">
        <v>43</v>
      </c>
    </row>
    <row r="72" spans="1:27" x14ac:dyDescent="0.2">
      <c r="A72" s="94" t="str">
        <f t="shared" si="14"/>
        <v/>
      </c>
      <c r="B72" s="161" t="str">
        <f t="shared" si="14"/>
        <v/>
      </c>
      <c r="C72" s="55">
        <f t="shared" si="2"/>
        <v>0</v>
      </c>
      <c r="D72" s="55">
        <f t="shared" si="3"/>
        <v>0</v>
      </c>
      <c r="E72" s="55">
        <f t="shared" si="4"/>
        <v>0</v>
      </c>
      <c r="F72" s="55">
        <f t="shared" si="5"/>
        <v>0</v>
      </c>
      <c r="G72" s="55">
        <f t="shared" si="6"/>
        <v>0</v>
      </c>
      <c r="H72" s="55">
        <f t="shared" si="7"/>
        <v>0</v>
      </c>
      <c r="I72" s="56">
        <f t="shared" si="8"/>
        <v>0</v>
      </c>
      <c r="J72" s="56">
        <f t="shared" si="9"/>
        <v>0</v>
      </c>
      <c r="K72" s="56">
        <f t="shared" si="10"/>
        <v>0</v>
      </c>
      <c r="L72" s="132">
        <f t="shared" si="11"/>
        <v>0</v>
      </c>
      <c r="M72" s="131">
        <f t="shared" si="12"/>
        <v>0</v>
      </c>
      <c r="AA72" s="89" t="s">
        <v>61</v>
      </c>
    </row>
    <row r="73" spans="1:27" x14ac:dyDescent="0.2">
      <c r="A73" s="94" t="str">
        <f t="shared" si="14"/>
        <v/>
      </c>
      <c r="B73" s="161" t="str">
        <f t="shared" si="14"/>
        <v/>
      </c>
      <c r="C73" s="55">
        <f t="shared" si="2"/>
        <v>0</v>
      </c>
      <c r="D73" s="55">
        <f t="shared" si="3"/>
        <v>0</v>
      </c>
      <c r="E73" s="55">
        <f t="shared" si="4"/>
        <v>0</v>
      </c>
      <c r="F73" s="55">
        <f t="shared" si="5"/>
        <v>0</v>
      </c>
      <c r="G73" s="55">
        <f t="shared" si="6"/>
        <v>0</v>
      </c>
      <c r="H73" s="55">
        <f t="shared" si="7"/>
        <v>0</v>
      </c>
      <c r="I73" s="56">
        <f t="shared" si="8"/>
        <v>0</v>
      </c>
      <c r="J73" s="56">
        <f t="shared" si="9"/>
        <v>0</v>
      </c>
      <c r="K73" s="56">
        <f t="shared" si="10"/>
        <v>0</v>
      </c>
      <c r="L73" s="132">
        <f t="shared" si="11"/>
        <v>0</v>
      </c>
      <c r="M73" s="131">
        <f t="shared" si="12"/>
        <v>0</v>
      </c>
      <c r="AA73" s="89" t="s">
        <v>54</v>
      </c>
    </row>
    <row r="74" spans="1:27" x14ac:dyDescent="0.2">
      <c r="A74" s="94" t="str">
        <f t="shared" si="14"/>
        <v/>
      </c>
      <c r="B74" s="161" t="str">
        <f t="shared" si="14"/>
        <v/>
      </c>
      <c r="C74" s="55">
        <f t="shared" si="2"/>
        <v>0</v>
      </c>
      <c r="D74" s="55">
        <f t="shared" si="3"/>
        <v>0</v>
      </c>
      <c r="E74" s="55">
        <f t="shared" si="4"/>
        <v>0</v>
      </c>
      <c r="F74" s="55">
        <f t="shared" si="5"/>
        <v>0</v>
      </c>
      <c r="G74" s="55">
        <f t="shared" si="6"/>
        <v>0</v>
      </c>
      <c r="H74" s="55">
        <f t="shared" si="7"/>
        <v>0</v>
      </c>
      <c r="I74" s="56">
        <f t="shared" si="8"/>
        <v>0</v>
      </c>
      <c r="J74" s="56">
        <f t="shared" si="9"/>
        <v>0</v>
      </c>
      <c r="K74" s="56">
        <f t="shared" si="10"/>
        <v>0</v>
      </c>
      <c r="L74" s="132">
        <f t="shared" si="11"/>
        <v>0</v>
      </c>
      <c r="M74" s="131">
        <f t="shared" si="12"/>
        <v>0</v>
      </c>
      <c r="AA74" s="89" t="s">
        <v>55</v>
      </c>
    </row>
    <row r="75" spans="1:27" x14ac:dyDescent="0.2">
      <c r="A75" s="94" t="str">
        <f t="shared" si="14"/>
        <v/>
      </c>
      <c r="B75" s="161" t="str">
        <f t="shared" si="14"/>
        <v/>
      </c>
      <c r="C75" s="55">
        <f t="shared" si="2"/>
        <v>0</v>
      </c>
      <c r="D75" s="55">
        <f t="shared" si="3"/>
        <v>0</v>
      </c>
      <c r="E75" s="55">
        <f t="shared" si="4"/>
        <v>0</v>
      </c>
      <c r="F75" s="55">
        <f t="shared" si="5"/>
        <v>0</v>
      </c>
      <c r="G75" s="55">
        <f t="shared" si="6"/>
        <v>0</v>
      </c>
      <c r="H75" s="55">
        <f t="shared" si="7"/>
        <v>0</v>
      </c>
      <c r="I75" s="56">
        <f t="shared" si="8"/>
        <v>0</v>
      </c>
      <c r="J75" s="56">
        <f t="shared" si="9"/>
        <v>0</v>
      </c>
      <c r="K75" s="56">
        <f t="shared" si="10"/>
        <v>0</v>
      </c>
      <c r="L75" s="132">
        <f t="shared" si="11"/>
        <v>0</v>
      </c>
      <c r="M75" s="131">
        <f t="shared" si="12"/>
        <v>0</v>
      </c>
      <c r="AA75" s="89" t="s">
        <v>56</v>
      </c>
    </row>
    <row r="76" spans="1:27" x14ac:dyDescent="0.2">
      <c r="A76" s="94" t="str">
        <f t="shared" si="14"/>
        <v/>
      </c>
      <c r="B76" s="161" t="str">
        <f t="shared" si="14"/>
        <v/>
      </c>
      <c r="C76" s="55">
        <f t="shared" si="2"/>
        <v>0</v>
      </c>
      <c r="D76" s="55">
        <f t="shared" si="3"/>
        <v>0</v>
      </c>
      <c r="E76" s="55">
        <f t="shared" si="4"/>
        <v>0</v>
      </c>
      <c r="F76" s="55">
        <f t="shared" si="5"/>
        <v>0</v>
      </c>
      <c r="G76" s="55">
        <f t="shared" si="6"/>
        <v>0</v>
      </c>
      <c r="H76" s="55">
        <f t="shared" si="7"/>
        <v>0</v>
      </c>
      <c r="I76" s="56">
        <f t="shared" si="8"/>
        <v>0</v>
      </c>
      <c r="J76" s="56">
        <f t="shared" si="9"/>
        <v>0</v>
      </c>
      <c r="K76" s="56">
        <f t="shared" si="10"/>
        <v>0</v>
      </c>
      <c r="L76" s="132">
        <f t="shared" si="11"/>
        <v>0</v>
      </c>
      <c r="M76" s="131">
        <f t="shared" si="12"/>
        <v>0</v>
      </c>
      <c r="AA76" s="89" t="s">
        <v>57</v>
      </c>
    </row>
    <row r="77" spans="1:27" x14ac:dyDescent="0.2">
      <c r="A77" s="94" t="str">
        <f t="shared" si="14"/>
        <v/>
      </c>
      <c r="B77" s="161" t="str">
        <f t="shared" si="14"/>
        <v/>
      </c>
      <c r="C77" s="55">
        <f t="shared" si="2"/>
        <v>0</v>
      </c>
      <c r="D77" s="55">
        <f t="shared" si="3"/>
        <v>0</v>
      </c>
      <c r="E77" s="55">
        <f t="shared" si="4"/>
        <v>0</v>
      </c>
      <c r="F77" s="55">
        <f t="shared" si="5"/>
        <v>0</v>
      </c>
      <c r="G77" s="55">
        <f t="shared" si="6"/>
        <v>0</v>
      </c>
      <c r="H77" s="55">
        <f t="shared" si="7"/>
        <v>0</v>
      </c>
      <c r="I77" s="56">
        <f t="shared" si="8"/>
        <v>0</v>
      </c>
      <c r="J77" s="56">
        <f t="shared" si="9"/>
        <v>0</v>
      </c>
      <c r="K77" s="56">
        <f t="shared" si="10"/>
        <v>0</v>
      </c>
      <c r="L77" s="132">
        <f t="shared" si="11"/>
        <v>0</v>
      </c>
      <c r="M77" s="131">
        <f t="shared" si="12"/>
        <v>0</v>
      </c>
      <c r="AA77" s="44"/>
    </row>
    <row r="78" spans="1:27" x14ac:dyDescent="0.2">
      <c r="A78" s="94" t="str">
        <f t="shared" si="14"/>
        <v/>
      </c>
      <c r="B78" s="161" t="str">
        <f t="shared" si="14"/>
        <v/>
      </c>
      <c r="C78" s="55">
        <f t="shared" si="2"/>
        <v>0</v>
      </c>
      <c r="D78" s="55">
        <f t="shared" si="3"/>
        <v>0</v>
      </c>
      <c r="E78" s="55">
        <f t="shared" si="4"/>
        <v>0</v>
      </c>
      <c r="F78" s="55">
        <f t="shared" si="5"/>
        <v>0</v>
      </c>
      <c r="G78" s="55">
        <f t="shared" si="6"/>
        <v>0</v>
      </c>
      <c r="H78" s="55">
        <f t="shared" si="7"/>
        <v>0</v>
      </c>
      <c r="I78" s="56">
        <f t="shared" si="8"/>
        <v>0</v>
      </c>
      <c r="J78" s="56">
        <f t="shared" si="9"/>
        <v>0</v>
      </c>
      <c r="K78" s="56">
        <f t="shared" si="10"/>
        <v>0</v>
      </c>
      <c r="L78" s="132">
        <f t="shared" si="11"/>
        <v>0</v>
      </c>
      <c r="M78" s="131">
        <f t="shared" si="12"/>
        <v>0</v>
      </c>
    </row>
    <row r="79" spans="1:27" x14ac:dyDescent="0.2">
      <c r="A79" s="94" t="str">
        <f t="shared" si="14"/>
        <v/>
      </c>
      <c r="B79" s="161" t="str">
        <f t="shared" si="14"/>
        <v/>
      </c>
      <c r="C79" s="55">
        <f t="shared" si="2"/>
        <v>0</v>
      </c>
      <c r="D79" s="55">
        <f t="shared" si="3"/>
        <v>0</v>
      </c>
      <c r="E79" s="55">
        <f t="shared" si="4"/>
        <v>0</v>
      </c>
      <c r="F79" s="55">
        <f t="shared" si="5"/>
        <v>0</v>
      </c>
      <c r="G79" s="55">
        <f t="shared" si="6"/>
        <v>0</v>
      </c>
      <c r="H79" s="55">
        <f t="shared" si="7"/>
        <v>0</v>
      </c>
      <c r="I79" s="56">
        <f t="shared" si="8"/>
        <v>0</v>
      </c>
      <c r="J79" s="56">
        <f t="shared" si="9"/>
        <v>0</v>
      </c>
      <c r="K79" s="56">
        <f t="shared" si="10"/>
        <v>0</v>
      </c>
      <c r="L79" s="132">
        <f t="shared" si="11"/>
        <v>0</v>
      </c>
      <c r="M79" s="131">
        <f t="shared" si="12"/>
        <v>0</v>
      </c>
    </row>
    <row r="80" spans="1:27" x14ac:dyDescent="0.2">
      <c r="A80" s="94" t="str">
        <f t="shared" si="14"/>
        <v/>
      </c>
      <c r="B80" s="161" t="str">
        <f t="shared" si="14"/>
        <v/>
      </c>
      <c r="C80" s="55">
        <f t="shared" si="2"/>
        <v>0</v>
      </c>
      <c r="D80" s="55">
        <f t="shared" si="3"/>
        <v>0</v>
      </c>
      <c r="E80" s="55">
        <f t="shared" si="4"/>
        <v>0</v>
      </c>
      <c r="F80" s="55">
        <f t="shared" si="5"/>
        <v>0</v>
      </c>
      <c r="G80" s="55">
        <f t="shared" si="6"/>
        <v>0</v>
      </c>
      <c r="H80" s="55">
        <f t="shared" si="7"/>
        <v>0</v>
      </c>
      <c r="I80" s="56">
        <f t="shared" si="8"/>
        <v>0</v>
      </c>
      <c r="J80" s="56">
        <f t="shared" si="9"/>
        <v>0</v>
      </c>
      <c r="K80" s="56">
        <f t="shared" si="10"/>
        <v>0</v>
      </c>
      <c r="L80" s="132">
        <f t="shared" si="11"/>
        <v>0</v>
      </c>
      <c r="M80" s="131">
        <f t="shared" si="12"/>
        <v>0</v>
      </c>
    </row>
    <row r="81" spans="1:13" x14ac:dyDescent="0.2">
      <c r="A81" s="94" t="str">
        <f t="shared" si="14"/>
        <v/>
      </c>
      <c r="B81" s="161" t="str">
        <f t="shared" si="14"/>
        <v/>
      </c>
      <c r="C81" s="55">
        <f t="shared" si="2"/>
        <v>0</v>
      </c>
      <c r="D81" s="55">
        <f t="shared" si="3"/>
        <v>0</v>
      </c>
      <c r="E81" s="55">
        <f t="shared" si="4"/>
        <v>0</v>
      </c>
      <c r="F81" s="55">
        <f t="shared" si="5"/>
        <v>0</v>
      </c>
      <c r="G81" s="55">
        <f t="shared" si="6"/>
        <v>0</v>
      </c>
      <c r="H81" s="55">
        <f t="shared" si="7"/>
        <v>0</v>
      </c>
      <c r="I81" s="56">
        <f t="shared" si="8"/>
        <v>0</v>
      </c>
      <c r="J81" s="56">
        <f t="shared" si="9"/>
        <v>0</v>
      </c>
      <c r="K81" s="56">
        <f t="shared" si="10"/>
        <v>0</v>
      </c>
      <c r="L81" s="132">
        <f t="shared" si="11"/>
        <v>0</v>
      </c>
      <c r="M81" s="131">
        <f t="shared" si="12"/>
        <v>0</v>
      </c>
    </row>
    <row r="82" spans="1:13" x14ac:dyDescent="0.2">
      <c r="A82" s="94" t="str">
        <f t="shared" si="14"/>
        <v>仕込水（※ラボ吸水）</v>
      </c>
      <c r="B82" s="161">
        <f>IF(B37="","",B37)</f>
        <v>10</v>
      </c>
      <c r="C82" s="55">
        <f t="shared" si="2"/>
        <v>10</v>
      </c>
      <c r="D82" s="55">
        <f t="shared" si="3"/>
        <v>0</v>
      </c>
      <c r="E82" s="55">
        <f t="shared" si="4"/>
        <v>0</v>
      </c>
      <c r="F82" s="55">
        <f t="shared" si="5"/>
        <v>0</v>
      </c>
      <c r="G82" s="55">
        <f t="shared" si="6"/>
        <v>0</v>
      </c>
      <c r="H82" s="55">
        <f t="shared" si="7"/>
        <v>0</v>
      </c>
      <c r="I82" s="56">
        <f t="shared" si="8"/>
        <v>0</v>
      </c>
      <c r="J82" s="56">
        <f t="shared" si="9"/>
        <v>0</v>
      </c>
      <c r="K82" s="56">
        <f t="shared" si="10"/>
        <v>0</v>
      </c>
      <c r="L82" s="132">
        <f t="shared" si="11"/>
        <v>0</v>
      </c>
      <c r="M82" s="131">
        <f t="shared" si="12"/>
        <v>0</v>
      </c>
    </row>
    <row r="83" spans="1:13" x14ac:dyDescent="0.2">
      <c r="A83" s="9" t="s">
        <v>34</v>
      </c>
      <c r="B83" s="60">
        <f t="shared" ref="B83:M83" si="15">SUM(B53:B82)</f>
        <v>483</v>
      </c>
      <c r="C83" s="55">
        <f t="shared" si="15"/>
        <v>146.43299999999999</v>
      </c>
      <c r="D83" s="55">
        <f t="shared" si="15"/>
        <v>22.671999999999997</v>
      </c>
      <c r="E83" s="55">
        <f t="shared" si="15"/>
        <v>64.192499999999995</v>
      </c>
      <c r="F83" s="55">
        <f t="shared" si="15"/>
        <v>233.62199999999996</v>
      </c>
      <c r="G83" s="55">
        <f t="shared" si="15"/>
        <v>1.9650000000000001</v>
      </c>
      <c r="H83" s="55">
        <f t="shared" si="15"/>
        <v>8.5455000000000005</v>
      </c>
      <c r="I83" s="56">
        <f t="shared" si="15"/>
        <v>1412.5021000000002</v>
      </c>
      <c r="J83" s="56">
        <f t="shared" si="15"/>
        <v>0.67700000000000005</v>
      </c>
      <c r="K83" s="56">
        <f t="shared" si="15"/>
        <v>11.8567</v>
      </c>
      <c r="L83" s="55">
        <f t="shared" si="15"/>
        <v>446.39</v>
      </c>
      <c r="M83" s="122">
        <f t="shared" si="15"/>
        <v>1213.9000000000001</v>
      </c>
    </row>
    <row r="84" spans="1:13" x14ac:dyDescent="0.2">
      <c r="A84" s="9" t="s">
        <v>35</v>
      </c>
      <c r="B84" s="41">
        <v>0</v>
      </c>
      <c r="C84" s="60"/>
      <c r="D84" s="60"/>
      <c r="E84" s="60"/>
      <c r="F84" s="60"/>
      <c r="G84" s="60"/>
      <c r="H84" s="60"/>
      <c r="I84" s="61"/>
      <c r="J84" s="62"/>
      <c r="K84" s="62"/>
      <c r="L84" s="121"/>
      <c r="M84" s="120"/>
    </row>
    <row r="85" spans="1:13" x14ac:dyDescent="0.2">
      <c r="A85" s="9" t="s">
        <v>36</v>
      </c>
      <c r="B85" s="60">
        <f>B83-B83*B84/100</f>
        <v>483</v>
      </c>
      <c r="C85" s="55">
        <f>C83-B83*B84/100</f>
        <v>146.43299999999999</v>
      </c>
      <c r="D85" s="55">
        <f t="shared" ref="D85:M85" si="16">SUM(D53:D82)</f>
        <v>22.671999999999997</v>
      </c>
      <c r="E85" s="55">
        <f t="shared" si="16"/>
        <v>64.192499999999995</v>
      </c>
      <c r="F85" s="55">
        <f t="shared" si="16"/>
        <v>233.62199999999996</v>
      </c>
      <c r="G85" s="55">
        <f t="shared" si="16"/>
        <v>1.9650000000000001</v>
      </c>
      <c r="H85" s="55">
        <f t="shared" si="16"/>
        <v>8.5455000000000005</v>
      </c>
      <c r="I85" s="56">
        <f t="shared" si="16"/>
        <v>1412.5021000000002</v>
      </c>
      <c r="J85" s="130">
        <f t="shared" si="16"/>
        <v>0.67700000000000005</v>
      </c>
      <c r="K85" s="130">
        <f t="shared" si="16"/>
        <v>11.8567</v>
      </c>
      <c r="L85" s="129">
        <f t="shared" si="16"/>
        <v>446.39</v>
      </c>
      <c r="M85" s="128">
        <f t="shared" si="16"/>
        <v>1213.9000000000001</v>
      </c>
    </row>
    <row r="86" spans="1:13" x14ac:dyDescent="0.2">
      <c r="A86" s="9" t="s">
        <v>37</v>
      </c>
      <c r="B86" s="63">
        <f>SUM(C86:H86)</f>
        <v>98.899999999999991</v>
      </c>
      <c r="C86" s="63">
        <f>ROUND(+C85/B85*100,1)</f>
        <v>30.3</v>
      </c>
      <c r="D86" s="63">
        <f>ROUND(+D85/B85*100,1)</f>
        <v>4.7</v>
      </c>
      <c r="E86" s="63">
        <f>ROUND(+E85/B85*100,1)</f>
        <v>13.3</v>
      </c>
      <c r="F86" s="63">
        <f>ROUND(+F85/B85*100,1)</f>
        <v>48.4</v>
      </c>
      <c r="G86" s="63">
        <f>ROUND(+G85/B85*100,1)</f>
        <v>0.4</v>
      </c>
      <c r="H86" s="63">
        <f>ROUND(+H85/B85*100,1)</f>
        <v>1.8</v>
      </c>
      <c r="I86" s="64">
        <f>ROUND(+I85/B85*100,1)</f>
        <v>292.39999999999998</v>
      </c>
      <c r="J86" s="56">
        <f>(+J85/B85*100)</f>
        <v>0.14016563146997929</v>
      </c>
      <c r="K86" s="56">
        <f>(+K85/B85*100)</f>
        <v>2.4548033126293998</v>
      </c>
      <c r="L86" s="129">
        <f>(+L85/B85*100)</f>
        <v>92.420289855072454</v>
      </c>
      <c r="M86" s="128">
        <f>(+M85/B85*100)</f>
        <v>251.32505175983439</v>
      </c>
    </row>
    <row r="87" spans="1:13" x14ac:dyDescent="0.2">
      <c r="A87" s="9" t="s">
        <v>38</v>
      </c>
      <c r="B87" s="63">
        <f>SUM(C87:H87)</f>
        <v>100.00000000000001</v>
      </c>
      <c r="C87" s="174">
        <v>30.3</v>
      </c>
      <c r="D87" s="174">
        <v>4.7</v>
      </c>
      <c r="E87" s="174">
        <v>13.3</v>
      </c>
      <c r="F87" s="63">
        <f>F86+100-B86</f>
        <v>49.500000000000014</v>
      </c>
      <c r="G87" s="174">
        <v>0.4</v>
      </c>
      <c r="H87" s="174">
        <v>1.8</v>
      </c>
      <c r="I87" s="174">
        <v>292.39999999999998</v>
      </c>
      <c r="J87" s="175">
        <v>0.14016563146997929</v>
      </c>
      <c r="K87" s="175">
        <v>2.4548033126293998</v>
      </c>
      <c r="L87" s="174">
        <v>92.420289855072454</v>
      </c>
      <c r="M87" s="177">
        <v>251.32505175983439</v>
      </c>
    </row>
    <row r="88" spans="1:13" x14ac:dyDescent="0.2">
      <c r="A88" s="6"/>
      <c r="B88" s="6"/>
      <c r="C88" s="6" t="s">
        <v>39</v>
      </c>
      <c r="D88" s="6"/>
      <c r="E88" s="6"/>
      <c r="F88" s="6"/>
      <c r="G88" s="6"/>
      <c r="H88" s="6"/>
      <c r="I88" s="34"/>
      <c r="J88" s="6"/>
      <c r="K88" s="6"/>
      <c r="L88" s="35"/>
      <c r="M88" s="127"/>
    </row>
    <row r="89" spans="1:13" x14ac:dyDescent="0.2">
      <c r="A89" s="9" t="s">
        <v>24</v>
      </c>
      <c r="B89" s="9" t="s">
        <v>19</v>
      </c>
      <c r="C89" s="9" t="s">
        <v>4</v>
      </c>
      <c r="D89" s="9" t="s">
        <v>5</v>
      </c>
      <c r="E89" s="9" t="s">
        <v>6</v>
      </c>
      <c r="F89" s="9" t="s">
        <v>7</v>
      </c>
      <c r="G89" s="9" t="s">
        <v>8</v>
      </c>
      <c r="H89" s="9" t="s">
        <v>9</v>
      </c>
      <c r="I89" s="10" t="s">
        <v>25</v>
      </c>
      <c r="J89" s="11" t="s">
        <v>11</v>
      </c>
      <c r="K89" s="12" t="s">
        <v>12</v>
      </c>
      <c r="L89" s="126" t="s">
        <v>13</v>
      </c>
      <c r="M89" s="125" t="str">
        <f>M7</f>
        <v>カルシウム</v>
      </c>
    </row>
    <row r="90" spans="1:13" x14ac:dyDescent="0.2">
      <c r="A90" s="31" t="s">
        <v>27</v>
      </c>
      <c r="B90" s="60">
        <f>B40*(100-B84)/100</f>
        <v>99</v>
      </c>
      <c r="C90" s="55">
        <f>C87/100*B90</f>
        <v>29.997</v>
      </c>
      <c r="D90" s="55">
        <f>D87/100*B90</f>
        <v>4.6529999999999996</v>
      </c>
      <c r="E90" s="55">
        <f>E87/100*B90</f>
        <v>13.167000000000002</v>
      </c>
      <c r="F90" s="55">
        <f>F87/100*B90</f>
        <v>49.005000000000017</v>
      </c>
      <c r="G90" s="55">
        <f>G87/100*B90</f>
        <v>0.39600000000000002</v>
      </c>
      <c r="H90" s="55">
        <f>H87/100*B90</f>
        <v>1.7820000000000003</v>
      </c>
      <c r="I90" s="56">
        <f>I87/100*B90</f>
        <v>289.476</v>
      </c>
      <c r="J90" s="62">
        <f>J87/100*B90</f>
        <v>0.1387639751552795</v>
      </c>
      <c r="K90" s="62">
        <f>K87/100*B90</f>
        <v>2.4302552795031058</v>
      </c>
      <c r="L90" s="121">
        <f>L87/100*B90</f>
        <v>91.496086956521737</v>
      </c>
      <c r="M90" s="120">
        <f>M87/100*B90</f>
        <v>248.81180124223604</v>
      </c>
    </row>
    <row r="91" spans="1:13" x14ac:dyDescent="0.2">
      <c r="A91" s="94" t="str">
        <f>IF(A41="","",A41)</f>
        <v/>
      </c>
      <c r="B91" s="161" t="str">
        <f>IF(B41="","",B41)</f>
        <v/>
      </c>
      <c r="C91" s="55">
        <f t="shared" ref="C91:C99" si="17">C41/100*B91</f>
        <v>0</v>
      </c>
      <c r="D91" s="55">
        <f t="shared" ref="D91:D99" si="18">D41/100*B91</f>
        <v>0</v>
      </c>
      <c r="E91" s="55">
        <f t="shared" ref="E91:E99" si="19">E41/100*B91</f>
        <v>0</v>
      </c>
      <c r="F91" s="55">
        <f t="shared" ref="F91:F99" si="20">F41/100*B91</f>
        <v>0</v>
      </c>
      <c r="G91" s="55">
        <f t="shared" ref="G91:G99" si="21">G41/100*B91</f>
        <v>0</v>
      </c>
      <c r="H91" s="55">
        <f t="shared" ref="H91:H99" si="22">H41/100*B91</f>
        <v>0</v>
      </c>
      <c r="I91" s="56">
        <f t="shared" ref="I91:I99" si="23">I41/100*B91</f>
        <v>0</v>
      </c>
      <c r="J91" s="62">
        <f t="shared" ref="J91:J99" si="24">J41/100*B91</f>
        <v>0</v>
      </c>
      <c r="K91" s="62">
        <f t="shared" ref="K91:K99" si="25">K41/100*B91</f>
        <v>0</v>
      </c>
      <c r="L91" s="124">
        <f t="shared" ref="L91:L99" si="26">L41/100*A91</f>
        <v>0</v>
      </c>
      <c r="M91" s="123">
        <f>M41/100*B91</f>
        <v>0</v>
      </c>
    </row>
    <row r="92" spans="1:13" x14ac:dyDescent="0.2">
      <c r="A92" s="94" t="str">
        <f t="shared" ref="A92:B99" si="27">IF(A42="","",A42)</f>
        <v/>
      </c>
      <c r="B92" s="161" t="str">
        <f t="shared" si="27"/>
        <v/>
      </c>
      <c r="C92" s="55">
        <f t="shared" si="17"/>
        <v>0</v>
      </c>
      <c r="D92" s="55">
        <f t="shared" si="18"/>
        <v>0</v>
      </c>
      <c r="E92" s="55">
        <f t="shared" si="19"/>
        <v>0</v>
      </c>
      <c r="F92" s="55">
        <f t="shared" si="20"/>
        <v>0</v>
      </c>
      <c r="G92" s="55">
        <f t="shared" si="21"/>
        <v>0</v>
      </c>
      <c r="H92" s="55">
        <f t="shared" si="22"/>
        <v>0</v>
      </c>
      <c r="I92" s="56">
        <f t="shared" si="23"/>
        <v>0</v>
      </c>
      <c r="J92" s="62">
        <f t="shared" si="24"/>
        <v>0</v>
      </c>
      <c r="K92" s="62">
        <f t="shared" si="25"/>
        <v>0</v>
      </c>
      <c r="L92" s="124">
        <f t="shared" si="26"/>
        <v>0</v>
      </c>
      <c r="M92" s="123">
        <f>M42/100*B92</f>
        <v>0</v>
      </c>
    </row>
    <row r="93" spans="1:13" x14ac:dyDescent="0.2">
      <c r="A93" s="94" t="str">
        <f t="shared" si="27"/>
        <v/>
      </c>
      <c r="B93" s="161" t="str">
        <f t="shared" si="27"/>
        <v/>
      </c>
      <c r="C93" s="55">
        <f t="shared" si="17"/>
        <v>0</v>
      </c>
      <c r="D93" s="55">
        <f t="shared" si="18"/>
        <v>0</v>
      </c>
      <c r="E93" s="55">
        <f t="shared" si="19"/>
        <v>0</v>
      </c>
      <c r="F93" s="55">
        <f t="shared" si="20"/>
        <v>0</v>
      </c>
      <c r="G93" s="55">
        <f t="shared" si="21"/>
        <v>0</v>
      </c>
      <c r="H93" s="55">
        <f t="shared" si="22"/>
        <v>0</v>
      </c>
      <c r="I93" s="56">
        <f t="shared" si="23"/>
        <v>0</v>
      </c>
      <c r="J93" s="62">
        <f t="shared" si="24"/>
        <v>0</v>
      </c>
      <c r="K93" s="62">
        <f t="shared" si="25"/>
        <v>0</v>
      </c>
      <c r="L93" s="124">
        <f t="shared" si="26"/>
        <v>0</v>
      </c>
      <c r="M93" s="123">
        <f t="shared" ref="M93:M99" si="28">M43/100*A93</f>
        <v>0</v>
      </c>
    </row>
    <row r="94" spans="1:13" x14ac:dyDescent="0.2">
      <c r="A94" s="94" t="str">
        <f t="shared" si="27"/>
        <v/>
      </c>
      <c r="B94" s="161" t="str">
        <f t="shared" si="27"/>
        <v/>
      </c>
      <c r="C94" s="55">
        <f t="shared" si="17"/>
        <v>0</v>
      </c>
      <c r="D94" s="55">
        <f t="shared" si="18"/>
        <v>0</v>
      </c>
      <c r="E94" s="55">
        <f t="shared" si="19"/>
        <v>0</v>
      </c>
      <c r="F94" s="55">
        <f t="shared" si="20"/>
        <v>0</v>
      </c>
      <c r="G94" s="55">
        <f t="shared" si="21"/>
        <v>0</v>
      </c>
      <c r="H94" s="55">
        <f t="shared" si="22"/>
        <v>0</v>
      </c>
      <c r="I94" s="56">
        <f t="shared" si="23"/>
        <v>0</v>
      </c>
      <c r="J94" s="62">
        <f t="shared" si="24"/>
        <v>0</v>
      </c>
      <c r="K94" s="62">
        <f t="shared" si="25"/>
        <v>0</v>
      </c>
      <c r="L94" s="124">
        <f t="shared" si="26"/>
        <v>0</v>
      </c>
      <c r="M94" s="123">
        <f t="shared" si="28"/>
        <v>0</v>
      </c>
    </row>
    <row r="95" spans="1:13" x14ac:dyDescent="0.2">
      <c r="A95" s="94" t="str">
        <f t="shared" si="27"/>
        <v/>
      </c>
      <c r="B95" s="161" t="str">
        <f t="shared" si="27"/>
        <v/>
      </c>
      <c r="C95" s="55">
        <f t="shared" si="17"/>
        <v>0</v>
      </c>
      <c r="D95" s="55">
        <f t="shared" si="18"/>
        <v>0</v>
      </c>
      <c r="E95" s="55">
        <f t="shared" si="19"/>
        <v>0</v>
      </c>
      <c r="F95" s="55">
        <f t="shared" si="20"/>
        <v>0</v>
      </c>
      <c r="G95" s="55">
        <f t="shared" si="21"/>
        <v>0</v>
      </c>
      <c r="H95" s="55">
        <f t="shared" si="22"/>
        <v>0</v>
      </c>
      <c r="I95" s="56">
        <f t="shared" si="23"/>
        <v>0</v>
      </c>
      <c r="J95" s="62">
        <f t="shared" si="24"/>
        <v>0</v>
      </c>
      <c r="K95" s="62">
        <f t="shared" si="25"/>
        <v>0</v>
      </c>
      <c r="L95" s="124">
        <f t="shared" si="26"/>
        <v>0</v>
      </c>
      <c r="M95" s="123">
        <f t="shared" si="28"/>
        <v>0</v>
      </c>
    </row>
    <row r="96" spans="1:13" x14ac:dyDescent="0.2">
      <c r="A96" s="94" t="str">
        <f t="shared" si="27"/>
        <v/>
      </c>
      <c r="B96" s="161" t="str">
        <f t="shared" si="27"/>
        <v/>
      </c>
      <c r="C96" s="55">
        <f t="shared" si="17"/>
        <v>0</v>
      </c>
      <c r="D96" s="55">
        <f t="shared" si="18"/>
        <v>0</v>
      </c>
      <c r="E96" s="55">
        <f t="shared" si="19"/>
        <v>0</v>
      </c>
      <c r="F96" s="55">
        <f t="shared" si="20"/>
        <v>0</v>
      </c>
      <c r="G96" s="55">
        <f t="shared" si="21"/>
        <v>0</v>
      </c>
      <c r="H96" s="55">
        <f t="shared" si="22"/>
        <v>0</v>
      </c>
      <c r="I96" s="56">
        <f t="shared" si="23"/>
        <v>0</v>
      </c>
      <c r="J96" s="62">
        <f t="shared" si="24"/>
        <v>0</v>
      </c>
      <c r="K96" s="62">
        <f t="shared" si="25"/>
        <v>0</v>
      </c>
      <c r="L96" s="124">
        <f t="shared" si="26"/>
        <v>0</v>
      </c>
      <c r="M96" s="123">
        <f t="shared" si="28"/>
        <v>0</v>
      </c>
    </row>
    <row r="97" spans="1:13" x14ac:dyDescent="0.2">
      <c r="A97" s="94" t="str">
        <f t="shared" si="27"/>
        <v/>
      </c>
      <c r="B97" s="161" t="str">
        <f t="shared" si="27"/>
        <v/>
      </c>
      <c r="C97" s="55">
        <f t="shared" si="17"/>
        <v>0</v>
      </c>
      <c r="D97" s="55">
        <f t="shared" si="18"/>
        <v>0</v>
      </c>
      <c r="E97" s="55">
        <f t="shared" si="19"/>
        <v>0</v>
      </c>
      <c r="F97" s="55">
        <f t="shared" si="20"/>
        <v>0</v>
      </c>
      <c r="G97" s="55">
        <f t="shared" si="21"/>
        <v>0</v>
      </c>
      <c r="H97" s="55">
        <f t="shared" si="22"/>
        <v>0</v>
      </c>
      <c r="I97" s="56">
        <f t="shared" si="23"/>
        <v>0</v>
      </c>
      <c r="J97" s="62">
        <f t="shared" si="24"/>
        <v>0</v>
      </c>
      <c r="K97" s="62">
        <f t="shared" si="25"/>
        <v>0</v>
      </c>
      <c r="L97" s="124">
        <f t="shared" si="26"/>
        <v>0</v>
      </c>
      <c r="M97" s="123">
        <f t="shared" si="28"/>
        <v>0</v>
      </c>
    </row>
    <row r="98" spans="1:13" x14ac:dyDescent="0.2">
      <c r="A98" s="94" t="str">
        <f t="shared" si="27"/>
        <v/>
      </c>
      <c r="B98" s="161" t="str">
        <f t="shared" si="27"/>
        <v/>
      </c>
      <c r="C98" s="55">
        <f t="shared" si="17"/>
        <v>0</v>
      </c>
      <c r="D98" s="55">
        <f t="shared" si="18"/>
        <v>0</v>
      </c>
      <c r="E98" s="55">
        <f t="shared" si="19"/>
        <v>0</v>
      </c>
      <c r="F98" s="55">
        <f t="shared" si="20"/>
        <v>0</v>
      </c>
      <c r="G98" s="55">
        <f t="shared" si="21"/>
        <v>0</v>
      </c>
      <c r="H98" s="55">
        <f t="shared" si="22"/>
        <v>0</v>
      </c>
      <c r="I98" s="56">
        <f t="shared" si="23"/>
        <v>0</v>
      </c>
      <c r="J98" s="62">
        <f t="shared" si="24"/>
        <v>0</v>
      </c>
      <c r="K98" s="62">
        <f t="shared" si="25"/>
        <v>0</v>
      </c>
      <c r="L98" s="124">
        <f t="shared" si="26"/>
        <v>0</v>
      </c>
      <c r="M98" s="123">
        <f t="shared" si="28"/>
        <v>0</v>
      </c>
    </row>
    <row r="99" spans="1:13" x14ac:dyDescent="0.2">
      <c r="A99" s="94" t="str">
        <f t="shared" si="27"/>
        <v/>
      </c>
      <c r="B99" s="161" t="str">
        <f t="shared" si="27"/>
        <v/>
      </c>
      <c r="C99" s="55">
        <f t="shared" si="17"/>
        <v>0</v>
      </c>
      <c r="D99" s="55">
        <f t="shared" si="18"/>
        <v>0</v>
      </c>
      <c r="E99" s="55">
        <f t="shared" si="19"/>
        <v>0</v>
      </c>
      <c r="F99" s="55">
        <f t="shared" si="20"/>
        <v>0</v>
      </c>
      <c r="G99" s="55">
        <f t="shared" si="21"/>
        <v>0</v>
      </c>
      <c r="H99" s="55">
        <f t="shared" si="22"/>
        <v>0</v>
      </c>
      <c r="I99" s="56">
        <f t="shared" si="23"/>
        <v>0</v>
      </c>
      <c r="J99" s="62">
        <f t="shared" si="24"/>
        <v>0</v>
      </c>
      <c r="K99" s="62">
        <f t="shared" si="25"/>
        <v>0</v>
      </c>
      <c r="L99" s="124">
        <f t="shared" si="26"/>
        <v>0</v>
      </c>
      <c r="M99" s="123">
        <f t="shared" si="28"/>
        <v>0</v>
      </c>
    </row>
    <row r="100" spans="1:13" x14ac:dyDescent="0.2">
      <c r="A100" s="9" t="s">
        <v>34</v>
      </c>
      <c r="B100" s="60">
        <f t="shared" ref="B100:M100" si="29">SUM(B90:B99)</f>
        <v>99</v>
      </c>
      <c r="C100" s="55">
        <f t="shared" si="29"/>
        <v>29.997</v>
      </c>
      <c r="D100" s="55">
        <f t="shared" si="29"/>
        <v>4.6529999999999996</v>
      </c>
      <c r="E100" s="55">
        <f t="shared" si="29"/>
        <v>13.167000000000002</v>
      </c>
      <c r="F100" s="55">
        <f t="shared" si="29"/>
        <v>49.005000000000017</v>
      </c>
      <c r="G100" s="55">
        <f t="shared" si="29"/>
        <v>0.39600000000000002</v>
      </c>
      <c r="H100" s="55">
        <f t="shared" si="29"/>
        <v>1.7820000000000003</v>
      </c>
      <c r="I100" s="56">
        <f t="shared" si="29"/>
        <v>289.476</v>
      </c>
      <c r="J100" s="56">
        <f t="shared" si="29"/>
        <v>0.1387639751552795</v>
      </c>
      <c r="K100" s="56">
        <f t="shared" si="29"/>
        <v>2.4302552795031058</v>
      </c>
      <c r="L100" s="55">
        <f t="shared" si="29"/>
        <v>91.496086956521737</v>
      </c>
      <c r="M100" s="122">
        <f t="shared" si="29"/>
        <v>248.81180124223604</v>
      </c>
    </row>
    <row r="101" spans="1:13" x14ac:dyDescent="0.2">
      <c r="A101" s="9" t="s">
        <v>35</v>
      </c>
      <c r="B101" s="41">
        <v>0</v>
      </c>
      <c r="C101" s="60"/>
      <c r="D101" s="60"/>
      <c r="E101" s="60"/>
      <c r="F101" s="60"/>
      <c r="G101" s="60"/>
      <c r="H101" s="60"/>
      <c r="I101" s="61"/>
      <c r="J101" s="61"/>
      <c r="K101" s="61"/>
      <c r="L101" s="121"/>
      <c r="M101" s="120"/>
    </row>
    <row r="102" spans="1:13" x14ac:dyDescent="0.2">
      <c r="A102" s="9" t="s">
        <v>36</v>
      </c>
      <c r="B102" s="60">
        <f>B100-B100*B101/100</f>
        <v>99</v>
      </c>
      <c r="C102" s="55">
        <f>C100-B100*B101/100</f>
        <v>29.997</v>
      </c>
      <c r="D102" s="55">
        <f t="shared" ref="D102:M102" si="30">SUM(D90:D99)</f>
        <v>4.6529999999999996</v>
      </c>
      <c r="E102" s="55">
        <f t="shared" si="30"/>
        <v>13.167000000000002</v>
      </c>
      <c r="F102" s="55">
        <f t="shared" si="30"/>
        <v>49.005000000000017</v>
      </c>
      <c r="G102" s="55">
        <f t="shared" si="30"/>
        <v>0.39600000000000002</v>
      </c>
      <c r="H102" s="55">
        <f t="shared" si="30"/>
        <v>1.7820000000000003</v>
      </c>
      <c r="I102" s="56">
        <f t="shared" si="30"/>
        <v>289.476</v>
      </c>
      <c r="J102" s="65">
        <f t="shared" si="30"/>
        <v>0.1387639751552795</v>
      </c>
      <c r="K102" s="65">
        <f t="shared" si="30"/>
        <v>2.4302552795031058</v>
      </c>
      <c r="L102" s="119">
        <f t="shared" si="30"/>
        <v>91.496086956521737</v>
      </c>
      <c r="M102" s="118">
        <f t="shared" si="30"/>
        <v>248.81180124223604</v>
      </c>
    </row>
    <row r="103" spans="1:13" ht="18" thickBot="1" x14ac:dyDescent="0.25">
      <c r="A103" s="66" t="s">
        <v>37</v>
      </c>
      <c r="B103" s="67">
        <f>SUM(C103:H103)</f>
        <v>100</v>
      </c>
      <c r="C103" s="67">
        <f>ROUND(+C102/B102*100,1)</f>
        <v>30.3</v>
      </c>
      <c r="D103" s="67">
        <f>ROUND(+D102/B102*100,1)</f>
        <v>4.7</v>
      </c>
      <c r="E103" s="67">
        <f>ROUND(+E102/B102*100,1)</f>
        <v>13.3</v>
      </c>
      <c r="F103" s="67">
        <f>ROUND(+F102/B102*100,1)</f>
        <v>49.5</v>
      </c>
      <c r="G103" s="67">
        <f>ROUND(+G102/B102*100,1)</f>
        <v>0.4</v>
      </c>
      <c r="H103" s="67">
        <f>ROUND(+H102/B102*100,1)</f>
        <v>1.8</v>
      </c>
      <c r="I103" s="117">
        <f>ROUND(+I102/B102*100,0)</f>
        <v>292</v>
      </c>
      <c r="J103" s="90">
        <f>ROUND(+J102/B102*100,2)</f>
        <v>0.14000000000000001</v>
      </c>
      <c r="K103" s="90">
        <f>ROUND(+K102/B102*100,2)</f>
        <v>2.4500000000000002</v>
      </c>
      <c r="L103" s="116">
        <f>ROUND(+L102/B102*100,0)</f>
        <v>92</v>
      </c>
      <c r="M103" s="115">
        <f>ROUND(+M102/B102*100,0)</f>
        <v>251</v>
      </c>
    </row>
    <row r="104" spans="1:13" ht="18.75" thickTop="1" thickBot="1" x14ac:dyDescent="0.25">
      <c r="A104" s="68" t="s">
        <v>38</v>
      </c>
      <c r="B104" s="69">
        <f>SUM(C104:H104)</f>
        <v>100</v>
      </c>
      <c r="C104" s="176">
        <v>30.3</v>
      </c>
      <c r="D104" s="176">
        <v>4.7</v>
      </c>
      <c r="E104" s="176">
        <v>13.3</v>
      </c>
      <c r="F104" s="114">
        <f>F103+100-B103</f>
        <v>49.5</v>
      </c>
      <c r="G104" s="176">
        <v>0.4</v>
      </c>
      <c r="H104" s="176">
        <v>1.8</v>
      </c>
      <c r="I104" s="176">
        <v>292</v>
      </c>
      <c r="J104" s="178">
        <v>0.14000000000000001</v>
      </c>
      <c r="K104" s="178">
        <v>2.4500000000000002</v>
      </c>
      <c r="L104" s="176">
        <v>92</v>
      </c>
      <c r="M104" s="186">
        <v>255</v>
      </c>
    </row>
    <row r="105" spans="1:13" ht="18.75" thickTop="1" thickBot="1" x14ac:dyDescent="0.25">
      <c r="A105" s="70"/>
      <c r="B105" s="71"/>
      <c r="C105" s="113"/>
      <c r="D105" s="72"/>
      <c r="E105" s="72"/>
      <c r="F105" s="73" t="s">
        <v>20</v>
      </c>
      <c r="G105" s="74"/>
      <c r="H105" s="72"/>
      <c r="I105" s="72"/>
      <c r="J105" s="72"/>
      <c r="K105" s="72"/>
      <c r="L105" s="8"/>
      <c r="M105" s="187" t="s">
        <v>106</v>
      </c>
    </row>
    <row r="106" spans="1:13" ht="18.75" thickTop="1" thickBot="1" x14ac:dyDescent="0.25">
      <c r="A106" s="165" t="s">
        <v>72</v>
      </c>
      <c r="B106" s="166">
        <v>33</v>
      </c>
      <c r="C106" s="167" t="str">
        <f>IF(COUNTIF(A6,"*ｾﾌﾞﾝﾌﾟﾚﾐｱﾑ*")+COUNTIF(A6,"*7P*"),"7P 複数個入り注意!!","")</f>
        <v/>
      </c>
      <c r="D106" s="72"/>
      <c r="E106" s="72"/>
      <c r="F106" s="75">
        <f>SUM(F104:G104)</f>
        <v>49.9</v>
      </c>
      <c r="G106" s="72"/>
      <c r="H106" s="72"/>
      <c r="I106" s="72"/>
      <c r="J106" s="72"/>
      <c r="K106" s="72"/>
      <c r="L106" s="8"/>
      <c r="M106" s="8"/>
    </row>
    <row r="107" spans="1:13" ht="18" x14ac:dyDescent="0.2">
      <c r="A107" s="2"/>
      <c r="B107" s="2"/>
      <c r="C107" s="2"/>
      <c r="D107" s="2"/>
      <c r="E107" s="76"/>
      <c r="F107" s="77"/>
      <c r="G107" s="2"/>
      <c r="H107" s="2"/>
      <c r="I107" s="2"/>
      <c r="J107" s="2"/>
      <c r="K107" s="2"/>
      <c r="L107" s="3"/>
      <c r="M107" s="3"/>
    </row>
    <row r="108" spans="1:13" ht="18.75" thickBot="1" x14ac:dyDescent="0.25">
      <c r="A108" s="78" t="s">
        <v>40</v>
      </c>
      <c r="B108" s="79"/>
      <c r="C108" s="80">
        <f>ROUND(+D104*4+E104*9+F104*4+G104*4,0)</f>
        <v>338</v>
      </c>
      <c r="D108" s="78" t="s">
        <v>41</v>
      </c>
      <c r="E108" s="81"/>
      <c r="F108" s="76"/>
      <c r="G108" s="2"/>
      <c r="H108" s="2"/>
      <c r="I108" s="2"/>
      <c r="J108" s="2"/>
      <c r="K108" s="2"/>
      <c r="L108" s="3"/>
      <c r="M108" s="3"/>
    </row>
    <row r="109" spans="1:13" ht="18" thickTop="1" x14ac:dyDescent="0.2">
      <c r="A109" s="2"/>
      <c r="B109" s="82"/>
      <c r="C109" s="82"/>
      <c r="D109" s="82"/>
      <c r="G109" s="82"/>
      <c r="H109" s="82"/>
      <c r="I109" s="82"/>
      <c r="J109" s="82"/>
      <c r="K109" s="82"/>
      <c r="L109" s="3"/>
      <c r="M109" s="3"/>
    </row>
    <row r="110" spans="1:13" x14ac:dyDescent="0.2">
      <c r="A110" s="2"/>
      <c r="B110" s="82"/>
      <c r="C110" s="82"/>
      <c r="D110" s="82"/>
      <c r="E110" s="82"/>
      <c r="F110" s="82"/>
      <c r="G110" s="82"/>
      <c r="H110" s="82"/>
      <c r="I110" s="82"/>
      <c r="J110" s="82"/>
      <c r="K110" s="82"/>
      <c r="L110" s="3"/>
      <c r="M110" s="3"/>
    </row>
    <row r="111" spans="1:13" x14ac:dyDescent="0.2">
      <c r="A111" s="2"/>
      <c r="B111" s="82"/>
      <c r="C111" s="97" t="s">
        <v>45</v>
      </c>
      <c r="D111" s="82"/>
      <c r="E111" s="82" t="str">
        <f>AG12</f>
        <v>1包装当たり</v>
      </c>
      <c r="F111" s="82"/>
      <c r="G111" s="82"/>
      <c r="H111" s="82"/>
      <c r="I111" s="82"/>
      <c r="J111" s="82"/>
      <c r="K111" s="82"/>
      <c r="L111" s="3"/>
      <c r="M111" s="3"/>
    </row>
    <row r="112" spans="1:13" x14ac:dyDescent="0.2">
      <c r="A112" s="2"/>
      <c r="B112" s="82"/>
      <c r="C112" s="98" t="s">
        <v>46</v>
      </c>
      <c r="D112" s="98" t="s">
        <v>17</v>
      </c>
      <c r="E112" s="98" t="s">
        <v>18</v>
      </c>
      <c r="F112" s="98" t="s">
        <v>20</v>
      </c>
      <c r="G112" s="98" t="s">
        <v>21</v>
      </c>
      <c r="H112" s="98" t="s">
        <v>12</v>
      </c>
      <c r="I112" s="98" t="s">
        <v>47</v>
      </c>
      <c r="J112" s="98" t="s">
        <v>48</v>
      </c>
      <c r="K112" s="98" t="s">
        <v>63</v>
      </c>
      <c r="L112" s="3"/>
      <c r="M112" s="3"/>
    </row>
    <row r="113" spans="1:13" x14ac:dyDescent="0.2">
      <c r="A113" s="2"/>
      <c r="B113" s="82"/>
      <c r="C113" s="99">
        <f>AG14</f>
        <v>335</v>
      </c>
      <c r="D113" s="100">
        <f>AG15</f>
        <v>4.7</v>
      </c>
      <c r="E113" s="100">
        <f>AG16</f>
        <v>13.2</v>
      </c>
      <c r="F113" s="101">
        <f>AG17</f>
        <v>49.4</v>
      </c>
      <c r="G113" s="102">
        <f>AG18</f>
        <v>0.73</v>
      </c>
      <c r="H113" s="103">
        <f>AG24</f>
        <v>2.4300000000000002</v>
      </c>
      <c r="I113" s="102">
        <f>IF(AG13&gt;=100,AG25,IF(AE25&lt;0.3,0,AG25))</f>
        <v>0</v>
      </c>
      <c r="J113" s="104">
        <f>IF(AE26&lt;5,0,AG26)</f>
        <v>91</v>
      </c>
      <c r="K113" s="170" t="str">
        <f>AA19&amp;":"&amp;TEXT(AG19,"G/標準")&amp;AH19</f>
        <v>カルシウム:252mg</v>
      </c>
      <c r="L113" s="3"/>
      <c r="M113" s="3"/>
    </row>
    <row r="114" spans="1:13" x14ac:dyDescent="0.2">
      <c r="A114" s="2"/>
      <c r="B114" s="82"/>
      <c r="C114" s="105" t="s">
        <v>49</v>
      </c>
      <c r="D114" s="106" t="s">
        <v>50</v>
      </c>
      <c r="E114" s="106" t="s">
        <v>50</v>
      </c>
      <c r="F114" s="107" t="s">
        <v>50</v>
      </c>
      <c r="G114" s="106" t="s">
        <v>50</v>
      </c>
      <c r="H114" s="107" t="s">
        <v>50</v>
      </c>
      <c r="I114" s="106" t="s">
        <v>50</v>
      </c>
      <c r="J114" s="108" t="s">
        <v>51</v>
      </c>
      <c r="K114" s="171"/>
      <c r="L114" s="3"/>
      <c r="M114" s="3"/>
    </row>
    <row r="115" spans="1:13" x14ac:dyDescent="0.2">
      <c r="A115" s="2"/>
      <c r="B115" s="82"/>
      <c r="C115" s="82"/>
      <c r="D115" s="82"/>
      <c r="E115" s="82"/>
      <c r="F115" s="82"/>
      <c r="G115" s="82"/>
      <c r="H115" s="82"/>
      <c r="I115" s="82"/>
      <c r="J115" s="82"/>
      <c r="K115" s="82"/>
      <c r="L115" s="3"/>
      <c r="M115" s="3"/>
    </row>
    <row r="117" spans="1:13" x14ac:dyDescent="0.2">
      <c r="A117" s="89"/>
    </row>
    <row r="118" spans="1:13" x14ac:dyDescent="0.2">
      <c r="A118" s="89"/>
    </row>
    <row r="119" spans="1:13" x14ac:dyDescent="0.2">
      <c r="A119" s="109"/>
    </row>
    <row r="120" spans="1:13" x14ac:dyDescent="0.2">
      <c r="A120" s="89"/>
    </row>
  </sheetData>
  <mergeCells count="8">
    <mergeCell ref="AK12:AK13"/>
    <mergeCell ref="AA31:AJ31"/>
    <mergeCell ref="G4:H4"/>
    <mergeCell ref="A5:E5"/>
    <mergeCell ref="A6:E6"/>
    <mergeCell ref="AB7:AI7"/>
    <mergeCell ref="AE12:AE13"/>
    <mergeCell ref="AG12:AI12"/>
  </mergeCells>
  <phoneticPr fontId="3"/>
  <conditionalFormatting sqref="AJ1:AJ1048576 AC1:AI6 AC8:AI1048576 AA11:AB1048576 AA1:AB7 AA8:AA10 AB8:AB9">
    <cfRule type="expression" dxfId="19" priority="5" stopIfTrue="1">
      <formula>$A$2="出力なし"</formula>
    </cfRule>
  </conditionalFormatting>
  <conditionalFormatting sqref="AG12:AI12">
    <cfRule type="expression" dxfId="18" priority="10" stopIfTrue="1">
      <formula>NOT(AG12="1個当たり")</formula>
    </cfRule>
  </conditionalFormatting>
  <conditionalFormatting sqref="AA31:AJ31">
    <cfRule type="expression" dxfId="17" priority="9" stopIfTrue="1">
      <formula>NOT(AA31="この表示値は、目安です。")</formula>
    </cfRule>
  </conditionalFormatting>
  <conditionalFormatting sqref="AG26">
    <cfRule type="expression" dxfId="16" priority="8" stopIfTrue="1">
      <formula>IF(AND(COUNTIF($A$6,"&lt;&gt;*様*"),$AE$26&lt;5),TRUE,FALSE)</formula>
    </cfRule>
  </conditionalFormatting>
  <conditionalFormatting sqref="AG25">
    <cfRule type="expression" dxfId="15" priority="7" stopIfTrue="1">
      <formula>IF(AND(COUNTIF($A$6,"&lt;&gt;*様*"),$AG$13&lt;100,$AE$25&lt;0.3),TRUE,FALSE)</formula>
    </cfRule>
  </conditionalFormatting>
  <conditionalFormatting sqref="AE22">
    <cfRule type="expression" dxfId="14" priority="6" stopIfTrue="1">
      <formula>IF($A$4="蒸し物",IF($AE$22&lt;30,TRUE,FALSE),FALSE)</formula>
    </cfRule>
  </conditionalFormatting>
  <conditionalFormatting sqref="Z24">
    <cfRule type="expression" dxfId="13" priority="4" stopIfTrue="1">
      <formula>COUNTIF($Z$24,"*1")</formula>
    </cfRule>
  </conditionalFormatting>
  <conditionalFormatting sqref="Z25">
    <cfRule type="expression" dxfId="12" priority="3" stopIfTrue="1">
      <formula>COUNTIF($Z$25,"*2")</formula>
    </cfRule>
  </conditionalFormatting>
  <conditionalFormatting sqref="AG12:AI12">
    <cfRule type="expression" dxfId="11" priority="2">
      <formula>$A$2="出力なし"</formula>
    </cfRule>
  </conditionalFormatting>
  <conditionalFormatting sqref="AG12:AI12">
    <cfRule type="expression" dxfId="10" priority="1" stopIfTrue="1">
      <formula>NOT(AG12="1個当たり")</formula>
    </cfRule>
  </conditionalFormatting>
  <dataValidations count="2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mdCopy87">
          <controlPr defaultSize="0" autoLine="0" r:id="rId5">
            <anchor moveWithCells="1" sizeWithCells="1">
              <from>
                <xdr:col>14</xdr:col>
                <xdr:colOff>114300</xdr:colOff>
                <xdr:row>86</xdr:row>
                <xdr:rowOff>0</xdr:rowOff>
              </from>
              <to>
                <xdr:col>20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4097" r:id="rId4" name="cmdCopy87"/>
      </mc:Fallback>
    </mc:AlternateContent>
    <mc:AlternateContent xmlns:mc="http://schemas.openxmlformats.org/markup-compatibility/2006">
      <mc:Choice Requires="x14">
        <control shapeId="4098" r:id="rId6" name="cmdClear87">
          <controlPr defaultSize="0" autoLine="0" r:id="rId7">
            <anchor moveWithCells="1" sizeWithCells="1">
              <from>
                <xdr:col>23</xdr:col>
                <xdr:colOff>0</xdr:colOff>
                <xdr:row>86</xdr:row>
                <xdr:rowOff>0</xdr:rowOff>
              </from>
              <to>
                <xdr:col>26</xdr:col>
                <xdr:colOff>9525</xdr:colOff>
                <xdr:row>87</xdr:row>
                <xdr:rowOff>76200</xdr:rowOff>
              </to>
            </anchor>
          </controlPr>
        </control>
      </mc:Choice>
      <mc:Fallback>
        <control shapeId="4098" r:id="rId6" name="cmdClear87"/>
      </mc:Fallback>
    </mc:AlternateContent>
    <mc:AlternateContent xmlns:mc="http://schemas.openxmlformats.org/markup-compatibility/2006">
      <mc:Choice Requires="x14">
        <control shapeId="4099" r:id="rId8" name="cmdCopy104">
          <controlPr defaultSize="0" autoLine="0" r:id="rId9">
            <anchor moveWithCells="1" sizeWithCells="1">
              <from>
                <xdr:col>14</xdr:col>
                <xdr:colOff>114300</xdr:colOff>
                <xdr:row>103</xdr:row>
                <xdr:rowOff>0</xdr:rowOff>
              </from>
              <to>
                <xdr:col>20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4099" r:id="rId8" name="cmdCopy104"/>
      </mc:Fallback>
    </mc:AlternateContent>
    <mc:AlternateContent xmlns:mc="http://schemas.openxmlformats.org/markup-compatibility/2006">
      <mc:Choice Requires="x14">
        <control shapeId="4100" r:id="rId10" name="cmdClear104">
          <controlPr defaultSize="0" autoLine="0" r:id="rId11">
            <anchor moveWithCells="1" sizeWithCells="1">
              <from>
                <xdr:col>22</xdr:col>
                <xdr:colOff>85725</xdr:colOff>
                <xdr:row>103</xdr:row>
                <xdr:rowOff>0</xdr:rowOff>
              </from>
              <to>
                <xdr:col>25</xdr:col>
                <xdr:colOff>581025</xdr:colOff>
                <xdr:row>104</xdr:row>
                <xdr:rowOff>47625</xdr:rowOff>
              </to>
            </anchor>
          </controlPr>
        </control>
      </mc:Choice>
      <mc:Fallback>
        <control shapeId="4100" r:id="rId10" name="cmdClear10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0">
    <pageSetUpPr fitToPage="1"/>
  </sheetPr>
  <dimension ref="A1:AO120"/>
  <sheetViews>
    <sheetView showGridLines="0" zoomScale="70" zoomScaleNormal="70" workbookViewId="0">
      <selection activeCell="A2" sqref="A2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83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 t="s">
        <v>95</v>
      </c>
      <c r="C1" s="184" t="s">
        <v>105</v>
      </c>
      <c r="D1" s="2"/>
      <c r="E1" s="2"/>
      <c r="F1" s="2"/>
      <c r="G1" s="2"/>
      <c r="H1" s="2"/>
      <c r="I1" s="2"/>
      <c r="J1" s="2"/>
      <c r="K1" s="2"/>
      <c r="L1" s="3"/>
      <c r="M1" s="3"/>
      <c r="AA1" s="154" t="s">
        <v>71</v>
      </c>
    </row>
    <row r="2" spans="1:37" x14ac:dyDescent="0.2">
      <c r="A2" s="110" t="s">
        <v>111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62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55" t="s">
        <v>76</v>
      </c>
      <c r="B4" s="2"/>
      <c r="C4" s="2"/>
      <c r="D4" s="2"/>
      <c r="E4" s="2"/>
      <c r="F4" s="173" t="s">
        <v>74</v>
      </c>
      <c r="G4" s="194" t="s">
        <v>96</v>
      </c>
      <c r="H4" s="195"/>
      <c r="I4" s="2"/>
      <c r="J4" s="2"/>
      <c r="K4" s="2"/>
      <c r="L4" s="3"/>
      <c r="M4" s="181" t="s">
        <v>102</v>
      </c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96" t="s">
        <v>1</v>
      </c>
      <c r="B5" s="196"/>
      <c r="C5" s="196"/>
      <c r="D5" s="196"/>
      <c r="E5" s="196"/>
      <c r="F5" s="143" t="s">
        <v>66</v>
      </c>
      <c r="G5" s="143" t="s">
        <v>67</v>
      </c>
      <c r="H5" s="143" t="s">
        <v>68</v>
      </c>
      <c r="I5" s="172" t="s">
        <v>78</v>
      </c>
      <c r="J5" s="2"/>
      <c r="K5" s="2" t="s">
        <v>97</v>
      </c>
      <c r="L5" s="3"/>
      <c r="M5" s="8"/>
      <c r="AA5" s="5"/>
      <c r="AB5" s="5"/>
      <c r="AC5" s="5"/>
      <c r="AD5" s="5"/>
      <c r="AE5" s="5"/>
      <c r="AF5" s="5"/>
      <c r="AG5" s="5"/>
      <c r="AH5" s="5"/>
      <c r="AI5" s="5" t="str">
        <f>$I$5</f>
        <v>2026年3月12日</v>
      </c>
      <c r="AJ5" s="5"/>
    </row>
    <row r="6" spans="1:37" ht="21" x14ac:dyDescent="0.2">
      <c r="A6" s="197" t="s">
        <v>104</v>
      </c>
      <c r="B6" s="198"/>
      <c r="C6" s="198"/>
      <c r="D6" s="198"/>
      <c r="E6" s="199"/>
      <c r="F6" s="144" t="s">
        <v>100</v>
      </c>
      <c r="G6" s="145" t="s">
        <v>101</v>
      </c>
      <c r="H6" s="146" t="s">
        <v>77</v>
      </c>
      <c r="I6" s="6"/>
      <c r="J6" s="7"/>
      <c r="K6" s="7" t="s">
        <v>98</v>
      </c>
      <c r="L6" s="8"/>
      <c r="AA6" s="5"/>
      <c r="AB6" s="5"/>
      <c r="AC6" s="5"/>
      <c r="AD6" s="5"/>
      <c r="AE6" s="5"/>
      <c r="AF6" s="14"/>
      <c r="AG6" s="14"/>
      <c r="AH6" s="5"/>
      <c r="AI6" s="5"/>
      <c r="AJ6" s="5"/>
    </row>
    <row r="7" spans="1:37" ht="24" x14ac:dyDescent="0.25">
      <c r="A7" s="147" t="s">
        <v>2</v>
      </c>
      <c r="B7" s="147" t="s">
        <v>3</v>
      </c>
      <c r="C7" s="147" t="s">
        <v>4</v>
      </c>
      <c r="D7" s="147" t="s">
        <v>5</v>
      </c>
      <c r="E7" s="147" t="s">
        <v>6</v>
      </c>
      <c r="F7" s="147" t="s">
        <v>7</v>
      </c>
      <c r="G7" s="147" t="s">
        <v>8</v>
      </c>
      <c r="H7" s="147" t="s">
        <v>9</v>
      </c>
      <c r="I7" s="148" t="s">
        <v>10</v>
      </c>
      <c r="J7" s="149" t="s">
        <v>11</v>
      </c>
      <c r="K7" s="150" t="s">
        <v>12</v>
      </c>
      <c r="L7" s="152" t="s">
        <v>13</v>
      </c>
      <c r="M7" s="142" t="s">
        <v>65</v>
      </c>
      <c r="AA7" s="15" t="s">
        <v>14</v>
      </c>
      <c r="AB7" s="200" t="str">
        <f>IF(COUNTIF($F$6,"1"),CONCATENATE($A$6,"(",$H$6,")"),CONCATENATE($A$6,$F$6,$G$6,"入","(",$H$6,")"))</f>
        <v>2608ｱﾝﾊﾟﾝﾏﾝのﾐﾆ蒸しﾊﾟﾝみるく味3個入(本社)</v>
      </c>
      <c r="AC7" s="200"/>
      <c r="AD7" s="200"/>
      <c r="AE7" s="200"/>
      <c r="AF7" s="200"/>
      <c r="AG7" s="200"/>
      <c r="AH7" s="200"/>
      <c r="AI7" s="200"/>
      <c r="AJ7" s="5"/>
    </row>
    <row r="8" spans="1:37" x14ac:dyDescent="0.2">
      <c r="A8" s="94" t="s">
        <v>79</v>
      </c>
      <c r="B8" s="95">
        <v>120</v>
      </c>
      <c r="C8" s="96">
        <v>0.7</v>
      </c>
      <c r="D8" s="96">
        <v>0</v>
      </c>
      <c r="E8" s="96">
        <v>0</v>
      </c>
      <c r="F8" s="96">
        <v>99.3</v>
      </c>
      <c r="G8" s="96"/>
      <c r="H8" s="96">
        <v>0</v>
      </c>
      <c r="I8" s="96">
        <v>1</v>
      </c>
      <c r="J8" s="96"/>
      <c r="K8" s="96"/>
      <c r="L8" s="96">
        <v>0</v>
      </c>
      <c r="M8" s="180">
        <v>1</v>
      </c>
      <c r="AB8" s="5" t="s">
        <v>103</v>
      </c>
    </row>
    <row r="9" spans="1:37" x14ac:dyDescent="0.2">
      <c r="A9" s="94" t="s">
        <v>80</v>
      </c>
      <c r="B9" s="95">
        <v>30</v>
      </c>
      <c r="C9" s="96">
        <v>37.9</v>
      </c>
      <c r="D9" s="96">
        <v>1.8</v>
      </c>
      <c r="E9" s="96">
        <v>1.7</v>
      </c>
      <c r="F9" s="96">
        <v>58.4</v>
      </c>
      <c r="G9" s="96">
        <v>0.1</v>
      </c>
      <c r="H9" s="96">
        <v>0.1</v>
      </c>
      <c r="I9" s="96">
        <v>29</v>
      </c>
      <c r="J9" s="96">
        <v>0.02</v>
      </c>
      <c r="K9" s="96">
        <v>0.12</v>
      </c>
      <c r="L9" s="96">
        <v>0</v>
      </c>
      <c r="M9" s="136"/>
      <c r="AA9" s="5"/>
      <c r="AB9" s="5" t="s">
        <v>75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94" t="s">
        <v>81</v>
      </c>
      <c r="B10" s="95">
        <v>20</v>
      </c>
      <c r="C10" s="96">
        <v>24.5</v>
      </c>
      <c r="D10" s="96">
        <v>0</v>
      </c>
      <c r="E10" s="96">
        <v>0</v>
      </c>
      <c r="F10" s="96">
        <v>75.5</v>
      </c>
      <c r="G10" s="96">
        <v>0</v>
      </c>
      <c r="H10" s="96">
        <v>0</v>
      </c>
      <c r="I10" s="96">
        <v>0</v>
      </c>
      <c r="J10" s="96">
        <v>0</v>
      </c>
      <c r="K10" s="96">
        <v>0</v>
      </c>
      <c r="L10" s="96">
        <v>0</v>
      </c>
      <c r="M10" s="136"/>
      <c r="AA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94" t="s">
        <v>99</v>
      </c>
      <c r="B11" s="95">
        <v>120</v>
      </c>
      <c r="C11" s="96">
        <v>75</v>
      </c>
      <c r="D11" s="96">
        <v>12.2</v>
      </c>
      <c r="E11" s="96">
        <v>10.199999999999999</v>
      </c>
      <c r="F11" s="96">
        <v>0.4</v>
      </c>
      <c r="G11" s="96">
        <v>0</v>
      </c>
      <c r="H11" s="96">
        <v>1</v>
      </c>
      <c r="I11" s="96">
        <v>140</v>
      </c>
      <c r="J11" s="96"/>
      <c r="K11" s="96">
        <v>3.12</v>
      </c>
      <c r="L11" s="96">
        <v>370</v>
      </c>
      <c r="M11" s="180">
        <v>46</v>
      </c>
      <c r="N11" s="4" t="s">
        <v>82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94" t="s">
        <v>83</v>
      </c>
      <c r="B12" s="95">
        <v>40</v>
      </c>
      <c r="C12" s="96">
        <v>12</v>
      </c>
      <c r="D12" s="96">
        <v>0.2</v>
      </c>
      <c r="E12" s="96">
        <v>0</v>
      </c>
      <c r="F12" s="96">
        <v>86.2</v>
      </c>
      <c r="G12" s="96">
        <v>1.4</v>
      </c>
      <c r="H12" s="96">
        <v>0.2</v>
      </c>
      <c r="I12" s="96">
        <v>7</v>
      </c>
      <c r="J12" s="96">
        <v>0</v>
      </c>
      <c r="K12" s="96">
        <v>0.18</v>
      </c>
      <c r="L12" s="96">
        <v>0</v>
      </c>
      <c r="M12" s="136"/>
      <c r="AA12" s="15" t="s">
        <v>15</v>
      </c>
      <c r="AB12" s="5"/>
      <c r="AC12" s="5"/>
      <c r="AD12" s="16"/>
      <c r="AE12" s="201" t="s">
        <v>58</v>
      </c>
      <c r="AF12" s="141"/>
      <c r="AG12" s="203" t="str">
        <f>"1"&amp;$G$6&amp;"当たり"</f>
        <v>1包装当たり</v>
      </c>
      <c r="AH12" s="203"/>
      <c r="AI12" s="203"/>
      <c r="AJ12" s="17"/>
      <c r="AK12" s="192" t="s">
        <v>44</v>
      </c>
    </row>
    <row r="13" spans="1:37" ht="24.75" x14ac:dyDescent="0.25">
      <c r="A13" s="94" t="s">
        <v>84</v>
      </c>
      <c r="B13" s="95">
        <v>5</v>
      </c>
      <c r="C13" s="96">
        <v>14.2</v>
      </c>
      <c r="D13" s="96">
        <v>8.3000000000000007</v>
      </c>
      <c r="E13" s="96">
        <v>1.5</v>
      </c>
      <c r="F13" s="96">
        <v>73.13</v>
      </c>
      <c r="G13" s="96">
        <v>2.5</v>
      </c>
      <c r="H13" s="96">
        <v>0.37</v>
      </c>
      <c r="I13" s="96">
        <v>0</v>
      </c>
      <c r="J13" s="96"/>
      <c r="K13" s="96">
        <v>0.34</v>
      </c>
      <c r="L13" s="96">
        <v>0</v>
      </c>
      <c r="M13" s="180">
        <v>20</v>
      </c>
      <c r="AA13" s="5"/>
      <c r="AB13" s="5"/>
      <c r="AC13" s="5"/>
      <c r="AD13" s="18"/>
      <c r="AE13" s="202"/>
      <c r="AF13" s="16"/>
      <c r="AG13" s="169">
        <f>IF((COUNTIF($A$6,"*7P*")+COUNTIF($A$6,"*ｾﾌﾞﾝﾌﾟﾚﾐｱﾑ*")),$B$106,ROUND($B$102,0))</f>
        <v>99</v>
      </c>
      <c r="AH13" s="20" t="s">
        <v>16</v>
      </c>
      <c r="AI13" s="19"/>
      <c r="AJ13" s="21"/>
      <c r="AK13" s="192"/>
    </row>
    <row r="14" spans="1:37" s="22" customFormat="1" ht="22.5" x14ac:dyDescent="0.25">
      <c r="A14" s="94" t="s">
        <v>85</v>
      </c>
      <c r="B14" s="95">
        <v>5</v>
      </c>
      <c r="C14" s="96">
        <v>14.2</v>
      </c>
      <c r="D14" s="96">
        <v>0.1</v>
      </c>
      <c r="E14" s="96">
        <v>0.2</v>
      </c>
      <c r="F14" s="96">
        <v>85.3</v>
      </c>
      <c r="G14" s="96">
        <v>0</v>
      </c>
      <c r="H14" s="96">
        <v>0.2</v>
      </c>
      <c r="I14" s="96">
        <v>59</v>
      </c>
      <c r="J14" s="96">
        <v>0</v>
      </c>
      <c r="K14" s="96">
        <v>0.02</v>
      </c>
      <c r="L14" s="96">
        <v>0</v>
      </c>
      <c r="M14" s="136"/>
      <c r="N14" s="4"/>
      <c r="O14" s="4"/>
      <c r="AA14" s="23" t="str">
        <f>IF(COUNTIF(A6,"*FM*"),"熱量","エネルギー")</f>
        <v>エネルギー</v>
      </c>
      <c r="AB14" s="24"/>
      <c r="AC14" s="25"/>
      <c r="AD14" s="25"/>
      <c r="AE14" s="26">
        <f>$C$108</f>
        <v>338</v>
      </c>
      <c r="AF14" s="27"/>
      <c r="AG14" s="26">
        <f>ROUND((AG15+AG17)*4+(AG16*9),0)</f>
        <v>335</v>
      </c>
      <c r="AH14" s="25" t="s">
        <v>49</v>
      </c>
      <c r="AI14" s="28"/>
      <c r="AJ14" s="24"/>
      <c r="AK14" s="93">
        <v>0</v>
      </c>
    </row>
    <row r="15" spans="1:37" ht="22.5" x14ac:dyDescent="0.25">
      <c r="A15" s="94" t="s">
        <v>84</v>
      </c>
      <c r="B15" s="95">
        <v>50</v>
      </c>
      <c r="C15" s="96">
        <v>14.2</v>
      </c>
      <c r="D15" s="96">
        <v>8.3000000000000007</v>
      </c>
      <c r="E15" s="96">
        <v>1.5</v>
      </c>
      <c r="F15" s="96">
        <v>73.13</v>
      </c>
      <c r="G15" s="96">
        <v>2.5</v>
      </c>
      <c r="H15" s="96">
        <v>0.37</v>
      </c>
      <c r="I15" s="96">
        <v>0</v>
      </c>
      <c r="J15" s="96"/>
      <c r="K15" s="96">
        <v>0.34</v>
      </c>
      <c r="L15" s="96">
        <v>0</v>
      </c>
      <c r="M15" s="136"/>
      <c r="AA15" s="29" t="s">
        <v>17</v>
      </c>
      <c r="AB15" s="30"/>
      <c r="AC15" s="25"/>
      <c r="AD15" s="25"/>
      <c r="AE15" s="28">
        <f>$D$104</f>
        <v>4.7</v>
      </c>
      <c r="AF15" s="27"/>
      <c r="AG15" s="28">
        <f>ROUND(($AG$13*AE15)/100,1)</f>
        <v>4.7</v>
      </c>
      <c r="AH15" s="25" t="s">
        <v>59</v>
      </c>
      <c r="AI15" s="28"/>
      <c r="AJ15" s="30"/>
      <c r="AK15" s="93">
        <v>1</v>
      </c>
    </row>
    <row r="16" spans="1:37" ht="22.5" x14ac:dyDescent="0.25">
      <c r="A16" s="94" t="s">
        <v>86</v>
      </c>
      <c r="B16" s="95">
        <v>3</v>
      </c>
      <c r="C16" s="96">
        <v>0.4</v>
      </c>
      <c r="D16" s="96">
        <v>0</v>
      </c>
      <c r="E16" s="96">
        <v>0.1</v>
      </c>
      <c r="F16" s="96">
        <v>35.299999999999997</v>
      </c>
      <c r="G16" s="96">
        <v>0</v>
      </c>
      <c r="H16" s="96">
        <v>64.2</v>
      </c>
      <c r="I16" s="96">
        <v>14345</v>
      </c>
      <c r="J16" s="96">
        <v>0</v>
      </c>
      <c r="K16" s="96">
        <v>0.04</v>
      </c>
      <c r="L16" s="96">
        <v>0</v>
      </c>
      <c r="M16" s="182">
        <v>0</v>
      </c>
      <c r="N16" s="22"/>
      <c r="O16" s="22"/>
      <c r="AA16" s="29" t="s">
        <v>18</v>
      </c>
      <c r="AB16" s="25"/>
      <c r="AC16" s="25"/>
      <c r="AD16" s="25"/>
      <c r="AE16" s="28">
        <f>$E$104</f>
        <v>13.3</v>
      </c>
      <c r="AF16" s="27"/>
      <c r="AG16" s="28">
        <f>ROUND(($AG$13*AE16)/100,1)</f>
        <v>13.2</v>
      </c>
      <c r="AH16" s="25" t="s">
        <v>59</v>
      </c>
      <c r="AI16" s="28"/>
      <c r="AJ16" s="30"/>
      <c r="AK16" s="93">
        <v>1</v>
      </c>
    </row>
    <row r="17" spans="1:41" ht="22.5" x14ac:dyDescent="0.25">
      <c r="A17" s="94" t="s">
        <v>87</v>
      </c>
      <c r="B17" s="95">
        <v>4</v>
      </c>
      <c r="C17" s="96">
        <v>0.2</v>
      </c>
      <c r="D17" s="96">
        <v>57.1</v>
      </c>
      <c r="E17" s="96">
        <v>0.7</v>
      </c>
      <c r="F17" s="96">
        <v>14.8</v>
      </c>
      <c r="G17" s="96">
        <v>0</v>
      </c>
      <c r="H17" s="96">
        <v>27.2</v>
      </c>
      <c r="I17" s="96">
        <v>10000</v>
      </c>
      <c r="J17" s="96">
        <v>0</v>
      </c>
      <c r="K17" s="96">
        <v>0.4</v>
      </c>
      <c r="L17" s="96">
        <v>0</v>
      </c>
      <c r="M17" s="183"/>
      <c r="AA17" s="29" t="s">
        <v>20</v>
      </c>
      <c r="AB17" s="30"/>
      <c r="AC17" s="25"/>
      <c r="AD17" s="25"/>
      <c r="AE17" s="28">
        <f>$F$106</f>
        <v>49.9</v>
      </c>
      <c r="AF17" s="27"/>
      <c r="AG17" s="28">
        <f>ROUND(($AG$13*AE17)/100,1)</f>
        <v>49.4</v>
      </c>
      <c r="AH17" s="25" t="s">
        <v>59</v>
      </c>
      <c r="AI17" s="28"/>
      <c r="AJ17" s="30"/>
      <c r="AK17" s="93">
        <v>1</v>
      </c>
    </row>
    <row r="18" spans="1:41" ht="22.5" x14ac:dyDescent="0.25">
      <c r="A18" s="94" t="s">
        <v>88</v>
      </c>
      <c r="B18" s="95">
        <v>3</v>
      </c>
      <c r="C18" s="96">
        <v>0.3</v>
      </c>
      <c r="D18" s="96">
        <v>2.1</v>
      </c>
      <c r="E18" s="96">
        <v>0.1</v>
      </c>
      <c r="F18" s="96">
        <v>0.7</v>
      </c>
      <c r="G18" s="96">
        <v>0</v>
      </c>
      <c r="H18" s="96">
        <v>96.8</v>
      </c>
      <c r="I18" s="96">
        <v>76</v>
      </c>
      <c r="J18" s="96">
        <v>0</v>
      </c>
      <c r="K18" s="96">
        <v>0</v>
      </c>
      <c r="L18" s="96">
        <v>3</v>
      </c>
      <c r="M18" s="182">
        <v>38000</v>
      </c>
      <c r="AA18" s="29" t="s">
        <v>21</v>
      </c>
      <c r="AB18" s="30"/>
      <c r="AC18" s="25"/>
      <c r="AD18" s="25"/>
      <c r="AE18" s="162">
        <f>IF($AE$21&lt;4.5,0,ROUND($AE$21/1000*2.54,2))</f>
        <v>0.74</v>
      </c>
      <c r="AF18" s="163"/>
      <c r="AG18" s="162">
        <f>IF($AE$21&lt;4.5,0,ROUND($AG$21/1000*2.54,2))</f>
        <v>0.73</v>
      </c>
      <c r="AH18" s="25" t="s">
        <v>59</v>
      </c>
      <c r="AI18" s="33"/>
      <c r="AJ18" s="30"/>
      <c r="AK18" s="93">
        <f>IF($AE$21&lt;4.5,0,2)</f>
        <v>2</v>
      </c>
    </row>
    <row r="19" spans="1:41" ht="22.5" x14ac:dyDescent="0.25">
      <c r="A19" s="94" t="s">
        <v>89</v>
      </c>
      <c r="B19" s="95">
        <v>1</v>
      </c>
      <c r="C19" s="96">
        <v>0.1</v>
      </c>
      <c r="D19" s="96">
        <v>0</v>
      </c>
      <c r="E19" s="96">
        <v>0</v>
      </c>
      <c r="F19" s="96">
        <v>0</v>
      </c>
      <c r="G19" s="96">
        <v>0</v>
      </c>
      <c r="H19" s="96">
        <v>99.9</v>
      </c>
      <c r="I19" s="96">
        <v>39000</v>
      </c>
      <c r="J19" s="96">
        <v>0</v>
      </c>
      <c r="K19" s="96">
        <v>0</v>
      </c>
      <c r="L19" s="96">
        <v>0</v>
      </c>
      <c r="M19" s="180">
        <v>0</v>
      </c>
      <c r="AA19" s="29" t="str">
        <f>IF($M$7="","",$M$7)</f>
        <v>カルシウム</v>
      </c>
      <c r="AB19" s="30"/>
      <c r="AC19" s="153"/>
      <c r="AD19" s="25"/>
      <c r="AE19" s="26">
        <f>$M$104</f>
        <v>251</v>
      </c>
      <c r="AF19" s="27"/>
      <c r="AG19" s="139">
        <f>ROUNDDOWN(($AG$13*AE19)/100,0)</f>
        <v>248</v>
      </c>
      <c r="AH19" s="153" t="s">
        <v>60</v>
      </c>
      <c r="AI19" s="26"/>
      <c r="AJ19" s="30"/>
      <c r="AK19" s="93">
        <v>0</v>
      </c>
    </row>
    <row r="20" spans="1:41" ht="22.5" x14ac:dyDescent="0.25">
      <c r="A20" s="94" t="s">
        <v>90</v>
      </c>
      <c r="B20" s="95">
        <v>15</v>
      </c>
      <c r="C20" s="96">
        <v>87.4</v>
      </c>
      <c r="D20" s="96">
        <v>3.3</v>
      </c>
      <c r="E20" s="96">
        <v>3.8</v>
      </c>
      <c r="F20" s="96">
        <v>4.8</v>
      </c>
      <c r="G20" s="96">
        <v>0</v>
      </c>
      <c r="H20" s="96">
        <v>0.7</v>
      </c>
      <c r="I20" s="96">
        <v>41</v>
      </c>
      <c r="J20" s="96">
        <v>0.14000000000000001</v>
      </c>
      <c r="K20" s="96">
        <v>2.33</v>
      </c>
      <c r="L20" s="96">
        <v>12</v>
      </c>
      <c r="M20" s="180">
        <v>110</v>
      </c>
      <c r="N20" s="4" t="s">
        <v>91</v>
      </c>
      <c r="AA20" s="29"/>
      <c r="AB20" s="30"/>
      <c r="AC20" s="25"/>
      <c r="AD20" s="25"/>
      <c r="AE20" s="33"/>
      <c r="AF20" s="27"/>
      <c r="AG20" s="33"/>
      <c r="AH20" s="25"/>
      <c r="AI20" s="33"/>
      <c r="AJ20" s="30"/>
    </row>
    <row r="21" spans="1:41" ht="22.5" x14ac:dyDescent="0.25">
      <c r="A21" s="94" t="s">
        <v>92</v>
      </c>
      <c r="B21" s="95">
        <v>50</v>
      </c>
      <c r="C21" s="96">
        <v>0</v>
      </c>
      <c r="D21" s="96">
        <v>0</v>
      </c>
      <c r="E21" s="96">
        <v>100</v>
      </c>
      <c r="F21" s="96">
        <v>0</v>
      </c>
      <c r="G21" s="96">
        <v>0</v>
      </c>
      <c r="H21" s="96">
        <v>0</v>
      </c>
      <c r="I21" s="96">
        <v>0</v>
      </c>
      <c r="J21" s="96">
        <v>1.3</v>
      </c>
      <c r="K21" s="96">
        <v>14.9</v>
      </c>
      <c r="L21" s="96">
        <v>1</v>
      </c>
      <c r="M21" s="183"/>
      <c r="AA21" s="29" t="s">
        <v>22</v>
      </c>
      <c r="AB21" s="30"/>
      <c r="AC21" s="25"/>
      <c r="AD21" s="25"/>
      <c r="AE21" s="26">
        <f>$I$104</f>
        <v>292</v>
      </c>
      <c r="AF21" s="27"/>
      <c r="AG21" s="140">
        <f>ROUND(($AG$13*AE21)/100,0)</f>
        <v>289</v>
      </c>
      <c r="AH21" s="25" t="s">
        <v>60</v>
      </c>
      <c r="AI21" s="26"/>
      <c r="AJ21" s="30"/>
    </row>
    <row r="22" spans="1:41" ht="22.5" x14ac:dyDescent="0.25">
      <c r="A22" s="94"/>
      <c r="B22" s="95"/>
      <c r="C22" s="96"/>
      <c r="D22" s="96"/>
      <c r="E22" s="96"/>
      <c r="F22" s="96"/>
      <c r="G22" s="96"/>
      <c r="H22" s="96"/>
      <c r="I22" s="96"/>
      <c r="J22" s="96"/>
      <c r="K22" s="96"/>
      <c r="L22" s="96"/>
      <c r="M22" s="136"/>
      <c r="AA22" s="29" t="s">
        <v>23</v>
      </c>
      <c r="AB22" s="36"/>
      <c r="AC22" s="37"/>
      <c r="AD22" s="37"/>
      <c r="AE22" s="38">
        <f>$C$104</f>
        <v>30.3</v>
      </c>
      <c r="AF22" s="39"/>
      <c r="AG22" s="38">
        <f>ROUND(($AG$13*AE22)/100,1)</f>
        <v>30</v>
      </c>
      <c r="AH22" s="37" t="s">
        <v>59</v>
      </c>
      <c r="AI22" s="38"/>
      <c r="AJ22" s="33"/>
    </row>
    <row r="23" spans="1:41" ht="21" x14ac:dyDescent="0.2">
      <c r="A23" s="94" t="s">
        <v>93</v>
      </c>
      <c r="B23" s="95">
        <v>7</v>
      </c>
      <c r="C23" s="96">
        <v>40.9</v>
      </c>
      <c r="D23" s="96">
        <v>0</v>
      </c>
      <c r="E23" s="96">
        <v>0.05</v>
      </c>
      <c r="F23" s="96">
        <v>0.05</v>
      </c>
      <c r="G23" s="96"/>
      <c r="H23" s="96">
        <v>0</v>
      </c>
      <c r="I23" s="96">
        <v>1.03</v>
      </c>
      <c r="J23" s="96"/>
      <c r="K23" s="96"/>
      <c r="L23" s="96"/>
      <c r="M23" s="136"/>
      <c r="AA23" s="29" t="s">
        <v>26</v>
      </c>
      <c r="AB23" s="36"/>
      <c r="AC23" s="37"/>
      <c r="AD23" s="37"/>
      <c r="AE23" s="40">
        <f>$H$104</f>
        <v>1.8</v>
      </c>
      <c r="AF23" s="164"/>
      <c r="AG23" s="40">
        <f>ROUND(($AG$13*AE23)/100,1)</f>
        <v>1.8</v>
      </c>
      <c r="AH23" s="37" t="s">
        <v>59</v>
      </c>
      <c r="AI23" s="38"/>
      <c r="AJ23" s="36"/>
    </row>
    <row r="24" spans="1:41" ht="22.5" x14ac:dyDescent="0.25">
      <c r="A24" s="94"/>
      <c r="B24" s="95"/>
      <c r="C24" s="96"/>
      <c r="D24" s="96"/>
      <c r="E24" s="96"/>
      <c r="F24" s="96"/>
      <c r="G24" s="96"/>
      <c r="H24" s="96"/>
      <c r="I24" s="96"/>
      <c r="J24" s="96"/>
      <c r="K24" s="96"/>
      <c r="L24" s="96"/>
      <c r="M24" s="136"/>
      <c r="N24" s="4">
        <f t="shared" ref="N24:N37" si="0">SUM(C24:H24)</f>
        <v>0</v>
      </c>
      <c r="Z24" s="4" t="str">
        <f>IF(AG24&lt;15,"","＊1")</f>
        <v/>
      </c>
      <c r="AA24" s="29" t="s">
        <v>12</v>
      </c>
      <c r="AB24" s="25"/>
      <c r="AC24" s="25"/>
      <c r="AD24" s="25"/>
      <c r="AE24" s="162">
        <f>$K$104</f>
        <v>2.4500000000000002</v>
      </c>
      <c r="AF24" s="163"/>
      <c r="AG24" s="162">
        <f>ROUND(($AG$13*AE24)/100,2)</f>
        <v>2.4300000000000002</v>
      </c>
      <c r="AH24" s="25" t="s">
        <v>59</v>
      </c>
      <c r="AI24" s="33"/>
      <c r="AJ24" s="30"/>
      <c r="AK24" s="93">
        <v>2</v>
      </c>
    </row>
    <row r="25" spans="1:41" ht="22.7" customHeight="1" x14ac:dyDescent="0.25">
      <c r="A25" s="94"/>
      <c r="B25" s="95"/>
      <c r="C25" s="96"/>
      <c r="D25" s="96"/>
      <c r="E25" s="96"/>
      <c r="F25" s="96"/>
      <c r="G25" s="96"/>
      <c r="H25" s="96"/>
      <c r="I25" s="96"/>
      <c r="J25" s="96"/>
      <c r="K25" s="96"/>
      <c r="L25" s="96"/>
      <c r="M25" s="136"/>
      <c r="N25" s="4">
        <f t="shared" si="0"/>
        <v>0</v>
      </c>
      <c r="Z25" s="4" t="str">
        <f>IF(OR(AND(AE25&gt;=0.3,AG25*VALUE(F6)&gt;=0.45),AE25&gt;=0.45,AND(AG13&gt;=100,AG25*VALUE(F6)&gt;=0.45)),"＊2","")</f>
        <v/>
      </c>
      <c r="AA25" s="29" t="s">
        <v>28</v>
      </c>
      <c r="AB25" s="25"/>
      <c r="AC25" s="25"/>
      <c r="AD25" s="25"/>
      <c r="AE25" s="162">
        <f>$J$104</f>
        <v>0.14000000000000001</v>
      </c>
      <c r="AF25" s="43"/>
      <c r="AG25" s="162">
        <f>ROUND(($AG$13*AE25)/100,2)</f>
        <v>0.14000000000000001</v>
      </c>
      <c r="AH25" s="25" t="s">
        <v>59</v>
      </c>
      <c r="AI25" s="33"/>
      <c r="AJ25" s="30"/>
      <c r="AK25" s="93">
        <v>2</v>
      </c>
    </row>
    <row r="26" spans="1:41" ht="22.5" x14ac:dyDescent="0.25">
      <c r="A26" s="94"/>
      <c r="B26" s="95"/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136"/>
      <c r="N26" s="4">
        <f t="shared" si="0"/>
        <v>0</v>
      </c>
      <c r="AA26" s="29" t="s">
        <v>29</v>
      </c>
      <c r="AB26" s="25"/>
      <c r="AC26" s="25"/>
      <c r="AD26" s="25"/>
      <c r="AE26" s="85">
        <f>$L$104</f>
        <v>92</v>
      </c>
      <c r="AF26" s="43"/>
      <c r="AG26" s="139">
        <f>ROUND(($AG$13*AE26)/100,0)</f>
        <v>91</v>
      </c>
      <c r="AH26" s="25" t="s">
        <v>60</v>
      </c>
      <c r="AI26" s="33"/>
      <c r="AJ26" s="30"/>
      <c r="AK26" s="93">
        <v>0</v>
      </c>
    </row>
    <row r="27" spans="1:41" x14ac:dyDescent="0.2">
      <c r="A27" s="94"/>
      <c r="B27" s="95"/>
      <c r="C27" s="96"/>
      <c r="D27" s="96"/>
      <c r="E27" s="96"/>
      <c r="F27" s="96"/>
      <c r="G27" s="96"/>
      <c r="H27" s="96"/>
      <c r="I27" s="96"/>
      <c r="J27" s="96"/>
      <c r="K27" s="96"/>
      <c r="L27" s="96"/>
      <c r="M27" s="136"/>
      <c r="N27" s="4">
        <f t="shared" si="0"/>
        <v>0</v>
      </c>
    </row>
    <row r="28" spans="1:41" x14ac:dyDescent="0.2">
      <c r="A28" s="94"/>
      <c r="B28" s="95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136"/>
      <c r="N28" s="4">
        <f t="shared" si="0"/>
        <v>0</v>
      </c>
    </row>
    <row r="29" spans="1:41" x14ac:dyDescent="0.2">
      <c r="A29" s="94"/>
      <c r="B29" s="95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136"/>
      <c r="N29" s="4">
        <f t="shared" si="0"/>
        <v>0</v>
      </c>
    </row>
    <row r="30" spans="1:41" x14ac:dyDescent="0.2">
      <c r="A30" s="94"/>
      <c r="B30" s="95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136"/>
      <c r="N30" s="4">
        <f t="shared" si="0"/>
        <v>0</v>
      </c>
    </row>
    <row r="31" spans="1:41" ht="21" x14ac:dyDescent="0.2">
      <c r="A31" s="94"/>
      <c r="B31" s="95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136"/>
      <c r="N31" s="4">
        <f t="shared" si="0"/>
        <v>0</v>
      </c>
      <c r="V31" s="47"/>
      <c r="W31" s="47"/>
      <c r="AA31" s="193" t="s">
        <v>64</v>
      </c>
      <c r="AB31" s="193"/>
      <c r="AC31" s="193"/>
      <c r="AD31" s="193"/>
      <c r="AE31" s="193"/>
      <c r="AF31" s="193"/>
      <c r="AG31" s="193"/>
      <c r="AH31" s="193"/>
      <c r="AI31" s="193"/>
      <c r="AJ31" s="193"/>
    </row>
    <row r="32" spans="1:41" x14ac:dyDescent="0.2">
      <c r="A32" s="94"/>
      <c r="B32" s="95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136"/>
      <c r="N32" s="4">
        <f t="shared" si="0"/>
        <v>0</v>
      </c>
      <c r="V32" s="47"/>
      <c r="W32" s="47"/>
      <c r="AA32" s="44"/>
      <c r="AB32" s="5"/>
      <c r="AC32" s="5"/>
      <c r="AD32" s="5"/>
      <c r="AE32" s="5"/>
      <c r="AF32" s="5"/>
      <c r="AG32" s="5"/>
      <c r="AH32" s="5"/>
      <c r="AI32" s="5"/>
      <c r="AJ32" s="5"/>
      <c r="AL32" s="45"/>
      <c r="AM32" s="45"/>
      <c r="AN32" s="46"/>
      <c r="AO32" s="47"/>
    </row>
    <row r="33" spans="1:41" x14ac:dyDescent="0.2">
      <c r="A33" s="94"/>
      <c r="B33" s="95"/>
      <c r="C33" s="96"/>
      <c r="D33" s="96"/>
      <c r="E33" s="96"/>
      <c r="F33" s="96"/>
      <c r="G33" s="96"/>
      <c r="H33" s="96"/>
      <c r="I33" s="96"/>
      <c r="J33" s="96"/>
      <c r="K33" s="96"/>
      <c r="L33" s="96"/>
      <c r="M33" s="136"/>
      <c r="N33" s="4">
        <f t="shared" si="0"/>
        <v>0</v>
      </c>
      <c r="V33" s="47"/>
      <c r="W33" s="47"/>
      <c r="AA33" s="44"/>
      <c r="AB33" s="5"/>
      <c r="AC33" s="5"/>
      <c r="AD33" s="5"/>
      <c r="AE33" s="5"/>
      <c r="AF33" s="5"/>
      <c r="AG33" s="5"/>
      <c r="AH33" s="5"/>
      <c r="AI33" s="5"/>
      <c r="AJ33" s="5"/>
      <c r="AL33" s="45"/>
      <c r="AM33" s="45"/>
      <c r="AN33" s="49"/>
      <c r="AO33" s="47"/>
    </row>
    <row r="34" spans="1:41" x14ac:dyDescent="0.2">
      <c r="A34" s="94"/>
      <c r="B34" s="95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136"/>
      <c r="N34" s="4">
        <f t="shared" si="0"/>
        <v>0</v>
      </c>
      <c r="V34" s="47"/>
      <c r="W34" s="47"/>
      <c r="AB34" s="5"/>
      <c r="AH34" s="5"/>
      <c r="AI34" s="5"/>
      <c r="AJ34" s="5"/>
      <c r="AL34" s="45"/>
      <c r="AM34" s="45"/>
      <c r="AN34" s="49"/>
      <c r="AO34" s="47"/>
    </row>
    <row r="35" spans="1:41" ht="21" x14ac:dyDescent="0.2">
      <c r="A35" s="94"/>
      <c r="B35" s="95"/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136"/>
      <c r="N35" s="4">
        <f t="shared" si="0"/>
        <v>0</v>
      </c>
      <c r="V35" s="47"/>
      <c r="W35" s="47"/>
      <c r="AA35" s="5"/>
      <c r="AB35" s="5"/>
      <c r="AC35" s="91" t="s">
        <v>30</v>
      </c>
      <c r="AD35" s="91"/>
      <c r="AE35" s="48">
        <f>B84</f>
        <v>0</v>
      </c>
      <c r="AF35" s="14" t="s">
        <v>31</v>
      </c>
      <c r="AG35" s="5"/>
      <c r="AH35" s="5"/>
      <c r="AI35" s="5"/>
      <c r="AJ35" s="5"/>
      <c r="AK35" s="58"/>
      <c r="AL35" s="45"/>
      <c r="AM35" s="45"/>
      <c r="AN35" s="49"/>
      <c r="AO35" s="47"/>
    </row>
    <row r="36" spans="1:41" x14ac:dyDescent="0.2">
      <c r="A36" s="94"/>
      <c r="B36" s="95"/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136"/>
      <c r="N36" s="4">
        <f t="shared" si="0"/>
        <v>0</v>
      </c>
      <c r="R36" s="47"/>
      <c r="V36" s="47"/>
      <c r="W36" s="47"/>
      <c r="AA36" s="44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45"/>
      <c r="AC36" s="52"/>
      <c r="AD36" s="47"/>
      <c r="AE36" s="5"/>
      <c r="AF36" s="5"/>
      <c r="AG36" s="5"/>
      <c r="AK36" s="59"/>
      <c r="AL36" s="45"/>
      <c r="AM36" s="45"/>
      <c r="AN36" s="52"/>
      <c r="AO36" s="47"/>
    </row>
    <row r="37" spans="1:41" x14ac:dyDescent="0.2">
      <c r="A37" s="94" t="s">
        <v>94</v>
      </c>
      <c r="B37" s="95">
        <v>10</v>
      </c>
      <c r="C37" s="96">
        <v>100</v>
      </c>
      <c r="D37" s="96"/>
      <c r="E37" s="96"/>
      <c r="F37" s="96"/>
      <c r="G37" s="96"/>
      <c r="H37" s="96"/>
      <c r="I37" s="96"/>
      <c r="J37" s="96"/>
      <c r="K37" s="96"/>
      <c r="L37" s="96"/>
      <c r="M37" s="136"/>
      <c r="N37" s="4">
        <f t="shared" si="0"/>
        <v>100</v>
      </c>
      <c r="R37" s="47"/>
      <c r="V37" s="47"/>
      <c r="W37" s="47"/>
      <c r="AA37" s="111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45"/>
      <c r="AC37" s="49"/>
      <c r="AD37" s="47"/>
      <c r="AE37" s="5"/>
      <c r="AF37" s="5"/>
      <c r="AG37" s="5"/>
      <c r="AL37" s="45"/>
      <c r="AM37" s="45"/>
      <c r="AN37" s="49"/>
      <c r="AO37" s="47"/>
    </row>
    <row r="38" spans="1:41" x14ac:dyDescent="0.2">
      <c r="A38" s="6"/>
      <c r="B38" s="6"/>
      <c r="C38" s="6"/>
      <c r="D38" s="6"/>
      <c r="E38" s="6"/>
      <c r="F38" s="6"/>
      <c r="G38" s="6"/>
      <c r="H38" s="6"/>
      <c r="I38" s="34"/>
      <c r="J38" s="6"/>
      <c r="K38" s="6"/>
      <c r="L38" s="35"/>
      <c r="M38" s="127"/>
      <c r="N38" s="92"/>
      <c r="R38" s="47"/>
      <c r="V38" s="47"/>
      <c r="W38" s="47"/>
      <c r="AA38" s="44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45"/>
      <c r="AC38" s="49"/>
      <c r="AD38" s="47"/>
      <c r="AL38" s="45"/>
      <c r="AM38" s="45"/>
      <c r="AN38" s="49"/>
      <c r="AO38" s="47"/>
    </row>
    <row r="39" spans="1:41" x14ac:dyDescent="0.2">
      <c r="A39" s="147" t="s">
        <v>24</v>
      </c>
      <c r="B39" s="147" t="s">
        <v>19</v>
      </c>
      <c r="C39" s="147" t="s">
        <v>4</v>
      </c>
      <c r="D39" s="147" t="s">
        <v>5</v>
      </c>
      <c r="E39" s="147" t="s">
        <v>6</v>
      </c>
      <c r="F39" s="147" t="s">
        <v>7</v>
      </c>
      <c r="G39" s="147" t="s">
        <v>8</v>
      </c>
      <c r="H39" s="147" t="s">
        <v>9</v>
      </c>
      <c r="I39" s="148" t="s">
        <v>25</v>
      </c>
      <c r="J39" s="149" t="s">
        <v>69</v>
      </c>
      <c r="K39" s="150" t="s">
        <v>70</v>
      </c>
      <c r="L39" s="151" t="s">
        <v>48</v>
      </c>
      <c r="M39" s="125" t="str">
        <f>M7</f>
        <v>カルシウム</v>
      </c>
      <c r="Q39" s="46"/>
      <c r="R39" s="47"/>
      <c r="AA39" s="45"/>
      <c r="AB39" s="45"/>
      <c r="AC39" s="52"/>
      <c r="AD39" s="47"/>
      <c r="AL39" s="45"/>
      <c r="AM39" s="45"/>
      <c r="AN39" s="52"/>
      <c r="AO39" s="47"/>
    </row>
    <row r="40" spans="1:41" x14ac:dyDescent="0.2">
      <c r="A40" s="31" t="s">
        <v>27</v>
      </c>
      <c r="B40" s="185">
        <v>99</v>
      </c>
      <c r="C40" s="41"/>
      <c r="D40" s="41"/>
      <c r="E40" s="41"/>
      <c r="F40" s="41"/>
      <c r="G40" s="41"/>
      <c r="H40" s="41"/>
      <c r="I40" s="42"/>
      <c r="J40" s="32"/>
      <c r="K40" s="84"/>
      <c r="L40" s="13"/>
      <c r="M40" s="138"/>
      <c r="N40" s="4">
        <f t="shared" ref="N40:N49" si="1">SUM(C40:H40)</f>
        <v>0</v>
      </c>
      <c r="Q40" s="49"/>
      <c r="R40" s="47"/>
      <c r="AA40" s="57"/>
    </row>
    <row r="41" spans="1:41" x14ac:dyDescent="0.2">
      <c r="A41" s="94"/>
      <c r="B41" s="95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136"/>
      <c r="N41" s="4">
        <f t="shared" si="1"/>
        <v>0</v>
      </c>
      <c r="P41" s="45"/>
      <c r="Q41" s="49"/>
      <c r="R41" s="47"/>
      <c r="AA41" s="57"/>
      <c r="AI41" s="58"/>
      <c r="AJ41" s="58"/>
    </row>
    <row r="42" spans="1:41" x14ac:dyDescent="0.2">
      <c r="A42" s="94"/>
      <c r="B42" s="95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136"/>
      <c r="N42" s="4">
        <f t="shared" si="1"/>
        <v>0</v>
      </c>
      <c r="P42" s="45"/>
      <c r="Q42" s="49"/>
      <c r="R42" s="47"/>
      <c r="AA42" s="57"/>
      <c r="AI42" s="58"/>
      <c r="AJ42" s="58"/>
    </row>
    <row r="43" spans="1:41" x14ac:dyDescent="0.2">
      <c r="A43" s="156"/>
      <c r="B43" s="168"/>
      <c r="C43" s="157"/>
      <c r="D43" s="157"/>
      <c r="E43" s="157"/>
      <c r="F43" s="157"/>
      <c r="G43" s="157"/>
      <c r="H43" s="157"/>
      <c r="I43" s="157"/>
      <c r="J43" s="158"/>
      <c r="K43" s="159"/>
      <c r="L43" s="157"/>
      <c r="M43" s="136"/>
      <c r="N43" s="4">
        <f t="shared" si="1"/>
        <v>0</v>
      </c>
      <c r="O43" s="45"/>
      <c r="P43" s="45"/>
      <c r="Q43" s="52"/>
      <c r="R43" s="47"/>
      <c r="AC43" s="58"/>
      <c r="AD43" s="58"/>
      <c r="AI43" s="59"/>
      <c r="AJ43" s="59"/>
    </row>
    <row r="44" spans="1:41" x14ac:dyDescent="0.2">
      <c r="A44" s="94"/>
      <c r="B44" s="160"/>
      <c r="C44" s="96"/>
      <c r="D44" s="96"/>
      <c r="E44" s="96"/>
      <c r="F44" s="96"/>
      <c r="G44" s="96"/>
      <c r="H44" s="96"/>
      <c r="I44" s="96"/>
      <c r="J44" s="96"/>
      <c r="K44" s="96"/>
      <c r="L44" s="137"/>
      <c r="M44" s="136"/>
      <c r="N44" s="4">
        <f t="shared" si="1"/>
        <v>0</v>
      </c>
      <c r="O44" s="45"/>
      <c r="P44" s="45"/>
      <c r="Q44" s="49"/>
      <c r="AC44" s="59"/>
      <c r="AD44" s="59"/>
    </row>
    <row r="45" spans="1:41" x14ac:dyDescent="0.2">
      <c r="A45" s="94"/>
      <c r="B45" s="160"/>
      <c r="C45" s="96"/>
      <c r="D45" s="96"/>
      <c r="E45" s="96"/>
      <c r="F45" s="96"/>
      <c r="G45" s="96"/>
      <c r="H45" s="96"/>
      <c r="I45" s="96"/>
      <c r="J45" s="96"/>
      <c r="K45" s="96"/>
      <c r="L45" s="137"/>
      <c r="M45" s="136"/>
      <c r="N45" s="4">
        <f t="shared" si="1"/>
        <v>0</v>
      </c>
      <c r="O45" s="45"/>
      <c r="P45" s="45"/>
      <c r="Q45" s="49"/>
    </row>
    <row r="46" spans="1:41" x14ac:dyDescent="0.2">
      <c r="A46" s="94"/>
      <c r="B46" s="160"/>
      <c r="C46" s="96"/>
      <c r="D46" s="96"/>
      <c r="E46" s="96"/>
      <c r="F46" s="96"/>
      <c r="G46" s="96"/>
      <c r="H46" s="96"/>
      <c r="I46" s="96"/>
      <c r="J46" s="96"/>
      <c r="K46" s="96"/>
      <c r="L46" s="137"/>
      <c r="M46" s="136"/>
      <c r="N46" s="4">
        <f t="shared" si="1"/>
        <v>0</v>
      </c>
      <c r="O46" s="45"/>
      <c r="P46" s="45"/>
      <c r="Q46" s="52"/>
      <c r="AC46" s="58"/>
      <c r="AD46" s="58"/>
    </row>
    <row r="47" spans="1:41" x14ac:dyDescent="0.2">
      <c r="A47" s="94"/>
      <c r="B47" s="160"/>
      <c r="C47" s="96"/>
      <c r="D47" s="96"/>
      <c r="E47" s="96"/>
      <c r="F47" s="96"/>
      <c r="G47" s="96"/>
      <c r="H47" s="96"/>
      <c r="I47" s="96"/>
      <c r="J47" s="96"/>
      <c r="K47" s="96"/>
      <c r="L47" s="137"/>
      <c r="M47" s="136"/>
      <c r="N47" s="4">
        <f t="shared" si="1"/>
        <v>0</v>
      </c>
      <c r="O47" s="45"/>
      <c r="P47" s="45"/>
      <c r="AC47" s="59"/>
      <c r="AD47" s="59"/>
    </row>
    <row r="48" spans="1:41" x14ac:dyDescent="0.2">
      <c r="A48" s="94"/>
      <c r="B48" s="160"/>
      <c r="C48" s="96"/>
      <c r="D48" s="96"/>
      <c r="E48" s="96"/>
      <c r="F48" s="96"/>
      <c r="G48" s="96"/>
      <c r="H48" s="96"/>
      <c r="I48" s="96"/>
      <c r="J48" s="96"/>
      <c r="K48" s="96"/>
      <c r="L48" s="137"/>
      <c r="M48" s="136"/>
      <c r="N48" s="4">
        <f t="shared" si="1"/>
        <v>0</v>
      </c>
      <c r="O48" s="45"/>
      <c r="P48" s="45"/>
    </row>
    <row r="49" spans="1:33" x14ac:dyDescent="0.2">
      <c r="A49" s="94"/>
      <c r="B49" s="160"/>
      <c r="C49" s="96"/>
      <c r="D49" s="96"/>
      <c r="E49" s="96"/>
      <c r="F49" s="96"/>
      <c r="G49" s="96"/>
      <c r="H49" s="96"/>
      <c r="I49" s="96"/>
      <c r="J49" s="96"/>
      <c r="K49" s="96"/>
      <c r="L49" s="137"/>
      <c r="M49" s="136"/>
      <c r="N49" s="4">
        <f t="shared" si="1"/>
        <v>0</v>
      </c>
      <c r="O49" s="45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0"/>
      <c r="J50" s="7"/>
      <c r="K50" s="7"/>
      <c r="L50" s="51"/>
      <c r="M50" s="135"/>
      <c r="O50" s="45"/>
    </row>
    <row r="51" spans="1:33" x14ac:dyDescent="0.2">
      <c r="A51" s="53" t="s">
        <v>32</v>
      </c>
      <c r="B51" s="6"/>
      <c r="C51" s="53" t="s">
        <v>32</v>
      </c>
      <c r="D51" s="53" t="s">
        <v>32</v>
      </c>
      <c r="E51" s="6"/>
      <c r="F51" s="6"/>
      <c r="G51" s="6"/>
      <c r="H51" s="6"/>
      <c r="I51" s="34"/>
      <c r="J51" s="6"/>
      <c r="K51" s="6"/>
      <c r="L51" s="54"/>
      <c r="M51" s="134"/>
    </row>
    <row r="52" spans="1:33" x14ac:dyDescent="0.2">
      <c r="A52" s="9" t="s">
        <v>2</v>
      </c>
      <c r="B52" s="9" t="s">
        <v>33</v>
      </c>
      <c r="C52" s="9" t="s">
        <v>4</v>
      </c>
      <c r="D52" s="9" t="s">
        <v>5</v>
      </c>
      <c r="E52" s="9" t="s">
        <v>6</v>
      </c>
      <c r="F52" s="9" t="s">
        <v>7</v>
      </c>
      <c r="G52" s="9" t="s">
        <v>8</v>
      </c>
      <c r="H52" s="9" t="s">
        <v>9</v>
      </c>
      <c r="I52" s="10" t="s">
        <v>25</v>
      </c>
      <c r="J52" s="11" t="s">
        <v>11</v>
      </c>
      <c r="K52" s="12" t="s">
        <v>12</v>
      </c>
      <c r="L52" s="126" t="s">
        <v>13</v>
      </c>
      <c r="M52" s="125" t="str">
        <f>M7</f>
        <v>カルシウム</v>
      </c>
    </row>
    <row r="53" spans="1:33" x14ac:dyDescent="0.2">
      <c r="A53" s="94" t="str">
        <f>IF(A8="","",A8)</f>
        <v>KH1 上白糖</v>
      </c>
      <c r="B53" s="161">
        <f>IF(B8="","",B8)</f>
        <v>120</v>
      </c>
      <c r="C53" s="55">
        <f t="shared" ref="C53:C82" si="2">C8*B53/100</f>
        <v>0.84</v>
      </c>
      <c r="D53" s="55">
        <f t="shared" ref="D53:D82" si="3">D8*B53/100</f>
        <v>0</v>
      </c>
      <c r="E53" s="55">
        <f t="shared" ref="E53:E82" si="4">E8*B53/100</f>
        <v>0</v>
      </c>
      <c r="F53" s="55">
        <f t="shared" ref="F53:F82" si="5">F8*B53/100</f>
        <v>119.16</v>
      </c>
      <c r="G53" s="55">
        <f t="shared" ref="G53:G82" si="6">G8*B53/100</f>
        <v>0</v>
      </c>
      <c r="H53" s="55">
        <f t="shared" ref="H53:H82" si="7">H8*B53/100</f>
        <v>0</v>
      </c>
      <c r="I53" s="56">
        <f t="shared" ref="I53:I82" si="8">I8*B53/100</f>
        <v>1.2</v>
      </c>
      <c r="J53" s="56">
        <f t="shared" ref="J53:J82" si="9">J8*B53/100</f>
        <v>0</v>
      </c>
      <c r="K53" s="56">
        <f t="shared" ref="K53:K82" si="10">K8*B53/100</f>
        <v>0</v>
      </c>
      <c r="L53" s="132">
        <f t="shared" ref="L53:L82" si="11">L8*B53/100</f>
        <v>0</v>
      </c>
      <c r="M53" s="131">
        <f t="shared" ref="M53:M82" si="12">M8*B53/100</f>
        <v>1.2</v>
      </c>
    </row>
    <row r="54" spans="1:33" x14ac:dyDescent="0.2">
      <c r="A54" s="94" t="str">
        <f t="shared" ref="A54:B54" si="13">IF(A9="","",A9)</f>
        <v>ﾇｰﾎﾞﾘｰﾑYK-29</v>
      </c>
      <c r="B54" s="161">
        <f t="shared" si="13"/>
        <v>30</v>
      </c>
      <c r="C54" s="55">
        <f t="shared" si="2"/>
        <v>11.37</v>
      </c>
      <c r="D54" s="55">
        <f t="shared" si="3"/>
        <v>0.54</v>
      </c>
      <c r="E54" s="55">
        <f t="shared" si="4"/>
        <v>0.51</v>
      </c>
      <c r="F54" s="55">
        <f t="shared" si="5"/>
        <v>17.52</v>
      </c>
      <c r="G54" s="55">
        <f t="shared" si="6"/>
        <v>0.03</v>
      </c>
      <c r="H54" s="55">
        <f t="shared" si="7"/>
        <v>0.03</v>
      </c>
      <c r="I54" s="56">
        <f t="shared" si="8"/>
        <v>8.6999999999999993</v>
      </c>
      <c r="J54" s="56">
        <f t="shared" si="9"/>
        <v>6.0000000000000001E-3</v>
      </c>
      <c r="K54" s="56">
        <f t="shared" si="10"/>
        <v>3.5999999999999997E-2</v>
      </c>
      <c r="L54" s="132">
        <f t="shared" si="11"/>
        <v>0</v>
      </c>
      <c r="M54" s="131">
        <f t="shared" si="12"/>
        <v>0</v>
      </c>
    </row>
    <row r="55" spans="1:33" x14ac:dyDescent="0.2">
      <c r="A55" s="94" t="str">
        <f t="shared" ref="A55:B55" si="14">IF(A10="","",A10)</f>
        <v>ｺｰﾝｼｭｶﾞｰA-30(ﾛｰﾘｰ)</v>
      </c>
      <c r="B55" s="161">
        <f t="shared" si="14"/>
        <v>20</v>
      </c>
      <c r="C55" s="55">
        <f t="shared" si="2"/>
        <v>4.9000000000000004</v>
      </c>
      <c r="D55" s="55">
        <f t="shared" si="3"/>
        <v>0</v>
      </c>
      <c r="E55" s="55">
        <f t="shared" si="4"/>
        <v>0</v>
      </c>
      <c r="F55" s="55">
        <f t="shared" si="5"/>
        <v>15.1</v>
      </c>
      <c r="G55" s="55">
        <f t="shared" si="6"/>
        <v>0</v>
      </c>
      <c r="H55" s="55">
        <f t="shared" si="7"/>
        <v>0</v>
      </c>
      <c r="I55" s="56">
        <f t="shared" si="8"/>
        <v>0</v>
      </c>
      <c r="J55" s="56">
        <f t="shared" si="9"/>
        <v>0</v>
      </c>
      <c r="K55" s="56">
        <f t="shared" si="10"/>
        <v>0</v>
      </c>
      <c r="L55" s="132">
        <f t="shared" si="11"/>
        <v>0</v>
      </c>
      <c r="M55" s="131">
        <f t="shared" si="12"/>
        <v>0</v>
      </c>
      <c r="AA55" s="87"/>
    </row>
    <row r="56" spans="1:33" x14ac:dyDescent="0.2">
      <c r="A56" s="94" t="str">
        <f t="shared" ref="A56:B56" si="15">IF(A11="","",A11)</f>
        <v>全卵/生</v>
      </c>
      <c r="B56" s="161">
        <f t="shared" si="15"/>
        <v>120</v>
      </c>
      <c r="C56" s="55">
        <f t="shared" si="2"/>
        <v>90</v>
      </c>
      <c r="D56" s="55">
        <f t="shared" si="3"/>
        <v>14.64</v>
      </c>
      <c r="E56" s="55">
        <f t="shared" si="4"/>
        <v>12.24</v>
      </c>
      <c r="F56" s="55">
        <f t="shared" si="5"/>
        <v>0.48</v>
      </c>
      <c r="G56" s="55">
        <f t="shared" si="6"/>
        <v>0</v>
      </c>
      <c r="H56" s="55">
        <f t="shared" si="7"/>
        <v>1.2</v>
      </c>
      <c r="I56" s="56">
        <f t="shared" si="8"/>
        <v>168</v>
      </c>
      <c r="J56" s="56">
        <f t="shared" si="9"/>
        <v>0</v>
      </c>
      <c r="K56" s="56">
        <f t="shared" si="10"/>
        <v>3.7440000000000002</v>
      </c>
      <c r="L56" s="132">
        <f t="shared" si="11"/>
        <v>444</v>
      </c>
      <c r="M56" s="131">
        <f t="shared" si="12"/>
        <v>55.2</v>
      </c>
      <c r="AA56" s="87"/>
    </row>
    <row r="57" spans="1:33" x14ac:dyDescent="0.2">
      <c r="A57" s="94" t="str">
        <f t="shared" ref="A57:B57" si="16">IF(A12="","",A12)</f>
        <v>白雪(青)</v>
      </c>
      <c r="B57" s="161">
        <f t="shared" si="16"/>
        <v>40</v>
      </c>
      <c r="C57" s="55">
        <f t="shared" si="2"/>
        <v>4.8</v>
      </c>
      <c r="D57" s="55">
        <f t="shared" si="3"/>
        <v>0.08</v>
      </c>
      <c r="E57" s="55">
        <f t="shared" si="4"/>
        <v>0</v>
      </c>
      <c r="F57" s="55">
        <f t="shared" si="5"/>
        <v>34.479999999999997</v>
      </c>
      <c r="G57" s="55">
        <f t="shared" si="6"/>
        <v>0.56000000000000005</v>
      </c>
      <c r="H57" s="55">
        <f t="shared" si="7"/>
        <v>0.08</v>
      </c>
      <c r="I57" s="56">
        <f t="shared" si="8"/>
        <v>2.8</v>
      </c>
      <c r="J57" s="56">
        <f t="shared" si="9"/>
        <v>0</v>
      </c>
      <c r="K57" s="56">
        <f t="shared" si="10"/>
        <v>7.1999999999999995E-2</v>
      </c>
      <c r="L57" s="132">
        <f t="shared" si="11"/>
        <v>0</v>
      </c>
      <c r="M57" s="131">
        <f t="shared" si="12"/>
        <v>0</v>
      </c>
    </row>
    <row r="58" spans="1:33" x14ac:dyDescent="0.2">
      <c r="A58" s="94" t="str">
        <f t="shared" ref="A58:B58" si="17">IF(A13="","",A13)</f>
        <v>ﾌｼﾞ薄力粉</v>
      </c>
      <c r="B58" s="161">
        <f t="shared" si="17"/>
        <v>5</v>
      </c>
      <c r="C58" s="55">
        <f t="shared" si="2"/>
        <v>0.71</v>
      </c>
      <c r="D58" s="55">
        <f t="shared" si="3"/>
        <v>0.41499999999999998</v>
      </c>
      <c r="E58" s="55">
        <f t="shared" si="4"/>
        <v>7.4999999999999997E-2</v>
      </c>
      <c r="F58" s="55">
        <f t="shared" si="5"/>
        <v>3.6564999999999999</v>
      </c>
      <c r="G58" s="55">
        <f t="shared" si="6"/>
        <v>0.125</v>
      </c>
      <c r="H58" s="55">
        <f t="shared" si="7"/>
        <v>1.8500000000000003E-2</v>
      </c>
      <c r="I58" s="56">
        <f t="shared" si="8"/>
        <v>0</v>
      </c>
      <c r="J58" s="56">
        <f t="shared" si="9"/>
        <v>0</v>
      </c>
      <c r="K58" s="56">
        <f t="shared" si="10"/>
        <v>1.7000000000000001E-2</v>
      </c>
      <c r="L58" s="132">
        <f t="shared" si="11"/>
        <v>0</v>
      </c>
      <c r="M58" s="131">
        <f t="shared" si="12"/>
        <v>1</v>
      </c>
    </row>
    <row r="59" spans="1:33" x14ac:dyDescent="0.2">
      <c r="A59" s="94" t="str">
        <f t="shared" ref="A59:B59" si="18">IF(A14="","",A14)</f>
        <v>ﾌｰﾄﾞｽﾀｰﾁTB</v>
      </c>
      <c r="B59" s="161">
        <f t="shared" si="18"/>
        <v>5</v>
      </c>
      <c r="C59" s="55">
        <f t="shared" si="2"/>
        <v>0.71</v>
      </c>
      <c r="D59" s="55">
        <f t="shared" si="3"/>
        <v>5.0000000000000001E-3</v>
      </c>
      <c r="E59" s="55">
        <f t="shared" si="4"/>
        <v>0.01</v>
      </c>
      <c r="F59" s="55">
        <f t="shared" si="5"/>
        <v>4.2649999999999997</v>
      </c>
      <c r="G59" s="55">
        <f t="shared" si="6"/>
        <v>0</v>
      </c>
      <c r="H59" s="55">
        <f t="shared" si="7"/>
        <v>0.01</v>
      </c>
      <c r="I59" s="56">
        <f t="shared" si="8"/>
        <v>2.95</v>
      </c>
      <c r="J59" s="56">
        <f t="shared" si="9"/>
        <v>0</v>
      </c>
      <c r="K59" s="56">
        <f t="shared" si="10"/>
        <v>1E-3</v>
      </c>
      <c r="L59" s="132">
        <f t="shared" si="11"/>
        <v>0</v>
      </c>
      <c r="M59" s="131">
        <f t="shared" si="12"/>
        <v>0</v>
      </c>
    </row>
    <row r="60" spans="1:33" x14ac:dyDescent="0.2">
      <c r="A60" s="94" t="str">
        <f t="shared" ref="A60:B60" si="19">IF(A15="","",A15)</f>
        <v>ﾌｼﾞ薄力粉</v>
      </c>
      <c r="B60" s="161">
        <f t="shared" si="19"/>
        <v>50</v>
      </c>
      <c r="C60" s="55">
        <f t="shared" si="2"/>
        <v>7.1</v>
      </c>
      <c r="D60" s="55">
        <f t="shared" si="3"/>
        <v>4.1500000000000004</v>
      </c>
      <c r="E60" s="55">
        <f t="shared" si="4"/>
        <v>0.75</v>
      </c>
      <c r="F60" s="55">
        <f t="shared" si="5"/>
        <v>36.564999999999998</v>
      </c>
      <c r="G60" s="55">
        <f t="shared" si="6"/>
        <v>1.25</v>
      </c>
      <c r="H60" s="55">
        <f t="shared" si="7"/>
        <v>0.185</v>
      </c>
      <c r="I60" s="56">
        <f t="shared" si="8"/>
        <v>0</v>
      </c>
      <c r="J60" s="56">
        <f t="shared" si="9"/>
        <v>0</v>
      </c>
      <c r="K60" s="56">
        <f t="shared" si="10"/>
        <v>0.17</v>
      </c>
      <c r="L60" s="132">
        <f t="shared" si="11"/>
        <v>0</v>
      </c>
      <c r="M60" s="131">
        <f t="shared" si="12"/>
        <v>0</v>
      </c>
    </row>
    <row r="61" spans="1:33" x14ac:dyDescent="0.2">
      <c r="A61" s="94" t="str">
        <f t="shared" ref="A61:B61" si="20">IF(A16="","",A16)</f>
        <v>ﾍﾞｰｷﾝｸﾞﾊﾟｳﾀﾞｰ蒸しﾊﾟﾝ用#1</v>
      </c>
      <c r="B61" s="161">
        <f t="shared" si="20"/>
        <v>3</v>
      </c>
      <c r="C61" s="55">
        <f t="shared" si="2"/>
        <v>1.2000000000000002E-2</v>
      </c>
      <c r="D61" s="55">
        <f t="shared" si="3"/>
        <v>0</v>
      </c>
      <c r="E61" s="55">
        <f t="shared" si="4"/>
        <v>3.0000000000000005E-3</v>
      </c>
      <c r="F61" s="55">
        <f t="shared" si="5"/>
        <v>1.0589999999999999</v>
      </c>
      <c r="G61" s="55">
        <f t="shared" si="6"/>
        <v>0</v>
      </c>
      <c r="H61" s="55">
        <f t="shared" si="7"/>
        <v>1.9260000000000002</v>
      </c>
      <c r="I61" s="56">
        <f t="shared" si="8"/>
        <v>430.35</v>
      </c>
      <c r="J61" s="56">
        <f t="shared" si="9"/>
        <v>0</v>
      </c>
      <c r="K61" s="56">
        <f t="shared" si="10"/>
        <v>1.1999999999999999E-3</v>
      </c>
      <c r="L61" s="132">
        <f t="shared" si="11"/>
        <v>0</v>
      </c>
      <c r="M61" s="131">
        <f t="shared" si="12"/>
        <v>0</v>
      </c>
    </row>
    <row r="62" spans="1:33" x14ac:dyDescent="0.2">
      <c r="A62" s="94" t="str">
        <f t="shared" ref="A62:B62" si="21">IF(A17="","",A17)</f>
        <v>ﾌﾟﾗｽﾀｲﾑNE-300MC</v>
      </c>
      <c r="B62" s="161">
        <f t="shared" si="21"/>
        <v>4</v>
      </c>
      <c r="C62" s="55">
        <f t="shared" si="2"/>
        <v>8.0000000000000002E-3</v>
      </c>
      <c r="D62" s="55">
        <f t="shared" si="3"/>
        <v>2.2840000000000003</v>
      </c>
      <c r="E62" s="55">
        <f t="shared" si="4"/>
        <v>2.7999999999999997E-2</v>
      </c>
      <c r="F62" s="55">
        <f t="shared" si="5"/>
        <v>0.59200000000000008</v>
      </c>
      <c r="G62" s="55">
        <f t="shared" si="6"/>
        <v>0</v>
      </c>
      <c r="H62" s="55">
        <f t="shared" si="7"/>
        <v>1.0880000000000001</v>
      </c>
      <c r="I62" s="56">
        <f t="shared" si="8"/>
        <v>400</v>
      </c>
      <c r="J62" s="56">
        <f t="shared" si="9"/>
        <v>0</v>
      </c>
      <c r="K62" s="56">
        <f t="shared" si="10"/>
        <v>1.6E-2</v>
      </c>
      <c r="L62" s="132">
        <f t="shared" si="11"/>
        <v>0</v>
      </c>
      <c r="M62" s="131">
        <f t="shared" si="12"/>
        <v>0</v>
      </c>
      <c r="AA62" s="86" t="s">
        <v>42</v>
      </c>
    </row>
    <row r="63" spans="1:33" x14ac:dyDescent="0.2">
      <c r="A63" s="94" t="str">
        <f t="shared" ref="A63:B63" si="22">IF(A18="","",A18)</f>
        <v>ｶﾙﾎｰﾌﾟ</v>
      </c>
      <c r="B63" s="161">
        <f t="shared" si="22"/>
        <v>3</v>
      </c>
      <c r="C63" s="55">
        <f t="shared" si="2"/>
        <v>8.9999999999999993E-3</v>
      </c>
      <c r="D63" s="55">
        <f t="shared" si="3"/>
        <v>6.3E-2</v>
      </c>
      <c r="E63" s="55">
        <f t="shared" si="4"/>
        <v>3.0000000000000005E-3</v>
      </c>
      <c r="F63" s="55">
        <f t="shared" si="5"/>
        <v>2.0999999999999998E-2</v>
      </c>
      <c r="G63" s="55">
        <f t="shared" si="6"/>
        <v>0</v>
      </c>
      <c r="H63" s="55">
        <f t="shared" si="7"/>
        <v>2.9039999999999999</v>
      </c>
      <c r="I63" s="56">
        <f t="shared" si="8"/>
        <v>2.2799999999999998</v>
      </c>
      <c r="J63" s="56">
        <f t="shared" si="9"/>
        <v>0</v>
      </c>
      <c r="K63" s="56">
        <f t="shared" si="10"/>
        <v>0</v>
      </c>
      <c r="L63" s="132">
        <f t="shared" si="11"/>
        <v>0.09</v>
      </c>
      <c r="M63" s="131">
        <f t="shared" si="12"/>
        <v>1140</v>
      </c>
      <c r="AA63" s="112" t="s">
        <v>52</v>
      </c>
    </row>
    <row r="64" spans="1:33" ht="18.75" x14ac:dyDescent="0.3">
      <c r="A64" s="94" t="str">
        <f t="shared" ref="A64:B64" si="23">IF(A19="","",A19)</f>
        <v>鳴門食塩</v>
      </c>
      <c r="B64" s="161">
        <f t="shared" si="23"/>
        <v>1</v>
      </c>
      <c r="C64" s="55">
        <f t="shared" si="2"/>
        <v>1E-3</v>
      </c>
      <c r="D64" s="55">
        <f t="shared" si="3"/>
        <v>0</v>
      </c>
      <c r="E64" s="55">
        <f t="shared" si="4"/>
        <v>0</v>
      </c>
      <c r="F64" s="55">
        <f t="shared" si="5"/>
        <v>0</v>
      </c>
      <c r="G64" s="55">
        <f t="shared" si="6"/>
        <v>0</v>
      </c>
      <c r="H64" s="55">
        <f t="shared" si="7"/>
        <v>0.99900000000000011</v>
      </c>
      <c r="I64" s="56">
        <f t="shared" si="8"/>
        <v>390</v>
      </c>
      <c r="J64" s="56">
        <f t="shared" si="9"/>
        <v>0</v>
      </c>
      <c r="K64" s="56">
        <f t="shared" si="10"/>
        <v>0</v>
      </c>
      <c r="L64" s="132">
        <f t="shared" si="11"/>
        <v>0</v>
      </c>
      <c r="M64" s="131">
        <f t="shared" si="12"/>
        <v>0</v>
      </c>
      <c r="AA64" s="87" t="s">
        <v>53</v>
      </c>
      <c r="AC64" s="88"/>
      <c r="AE64" s="88"/>
      <c r="AF64" s="133"/>
      <c r="AG64" s="88"/>
    </row>
    <row r="65" spans="1:27" x14ac:dyDescent="0.2">
      <c r="A65" s="94" t="str">
        <f t="shared" ref="A65:B65" si="24">IF(A20="","",A20)</f>
        <v>明治北海道牛乳10L(5L×2袋)</v>
      </c>
      <c r="B65" s="161">
        <f t="shared" si="24"/>
        <v>15</v>
      </c>
      <c r="C65" s="55">
        <f t="shared" si="2"/>
        <v>13.11</v>
      </c>
      <c r="D65" s="55">
        <f t="shared" si="3"/>
        <v>0.495</v>
      </c>
      <c r="E65" s="55">
        <f t="shared" si="4"/>
        <v>0.56999999999999995</v>
      </c>
      <c r="F65" s="55">
        <f t="shared" si="5"/>
        <v>0.72</v>
      </c>
      <c r="G65" s="55">
        <f t="shared" si="6"/>
        <v>0</v>
      </c>
      <c r="H65" s="55">
        <f t="shared" si="7"/>
        <v>0.105</v>
      </c>
      <c r="I65" s="56">
        <f t="shared" si="8"/>
        <v>6.15</v>
      </c>
      <c r="J65" s="56">
        <f t="shared" si="9"/>
        <v>2.1000000000000001E-2</v>
      </c>
      <c r="K65" s="56">
        <f t="shared" si="10"/>
        <v>0.34950000000000003</v>
      </c>
      <c r="L65" s="132">
        <f t="shared" si="11"/>
        <v>1.8</v>
      </c>
      <c r="M65" s="131">
        <f t="shared" si="12"/>
        <v>16.5</v>
      </c>
    </row>
    <row r="66" spans="1:27" x14ac:dyDescent="0.2">
      <c r="A66" s="94" t="str">
        <f t="shared" ref="A66:B66" si="25">IF(A21="","",A21)</f>
        <v>ｼﾞｾﾙｶﾞﾄｰSC 16kg缶</v>
      </c>
      <c r="B66" s="161">
        <f t="shared" si="25"/>
        <v>50</v>
      </c>
      <c r="C66" s="55">
        <f t="shared" si="2"/>
        <v>0</v>
      </c>
      <c r="D66" s="55">
        <f t="shared" si="3"/>
        <v>0</v>
      </c>
      <c r="E66" s="55">
        <f t="shared" si="4"/>
        <v>50</v>
      </c>
      <c r="F66" s="55">
        <f t="shared" si="5"/>
        <v>0</v>
      </c>
      <c r="G66" s="55">
        <f t="shared" si="6"/>
        <v>0</v>
      </c>
      <c r="H66" s="55">
        <f t="shared" si="7"/>
        <v>0</v>
      </c>
      <c r="I66" s="56">
        <f t="shared" si="8"/>
        <v>0</v>
      </c>
      <c r="J66" s="56">
        <f t="shared" si="9"/>
        <v>0.65</v>
      </c>
      <c r="K66" s="56">
        <f t="shared" si="10"/>
        <v>7.45</v>
      </c>
      <c r="L66" s="132">
        <f t="shared" si="11"/>
        <v>0.5</v>
      </c>
      <c r="M66" s="131">
        <f t="shared" si="12"/>
        <v>0</v>
      </c>
    </row>
    <row r="67" spans="1:27" x14ac:dyDescent="0.2">
      <c r="A67" s="94" t="str">
        <f t="shared" ref="A67:B67" si="26">IF(A22="","",A22)</f>
        <v/>
      </c>
      <c r="B67" s="161" t="str">
        <f t="shared" si="26"/>
        <v/>
      </c>
      <c r="C67" s="55">
        <f t="shared" si="2"/>
        <v>0</v>
      </c>
      <c r="D67" s="55">
        <f t="shared" si="3"/>
        <v>0</v>
      </c>
      <c r="E67" s="55">
        <f t="shared" si="4"/>
        <v>0</v>
      </c>
      <c r="F67" s="55">
        <f t="shared" si="5"/>
        <v>0</v>
      </c>
      <c r="G67" s="55">
        <f t="shared" si="6"/>
        <v>0</v>
      </c>
      <c r="H67" s="55">
        <f t="shared" si="7"/>
        <v>0</v>
      </c>
      <c r="I67" s="56">
        <f t="shared" si="8"/>
        <v>0</v>
      </c>
      <c r="J67" s="56">
        <f t="shared" si="9"/>
        <v>0</v>
      </c>
      <c r="K67" s="56">
        <f t="shared" si="10"/>
        <v>0</v>
      </c>
      <c r="L67" s="132">
        <f t="shared" si="11"/>
        <v>0</v>
      </c>
      <c r="M67" s="131">
        <f t="shared" si="12"/>
        <v>0</v>
      </c>
    </row>
    <row r="68" spans="1:27" x14ac:dyDescent="0.2">
      <c r="A68" s="94" t="str">
        <f t="shared" ref="A68:B68" si="27">IF(A23="","",A23)</f>
        <v>ﾒｲｵｰﾙ NEO67</v>
      </c>
      <c r="B68" s="161">
        <f t="shared" si="27"/>
        <v>7</v>
      </c>
      <c r="C68" s="55">
        <f t="shared" si="2"/>
        <v>2.863</v>
      </c>
      <c r="D68" s="55">
        <f t="shared" si="3"/>
        <v>0</v>
      </c>
      <c r="E68" s="55">
        <f t="shared" si="4"/>
        <v>3.5000000000000005E-3</v>
      </c>
      <c r="F68" s="55">
        <f t="shared" si="5"/>
        <v>3.5000000000000005E-3</v>
      </c>
      <c r="G68" s="55">
        <f t="shared" si="6"/>
        <v>0</v>
      </c>
      <c r="H68" s="55">
        <f t="shared" si="7"/>
        <v>0</v>
      </c>
      <c r="I68" s="56">
        <f t="shared" si="8"/>
        <v>7.2099999999999997E-2</v>
      </c>
      <c r="J68" s="56">
        <f t="shared" si="9"/>
        <v>0</v>
      </c>
      <c r="K68" s="56">
        <f t="shared" si="10"/>
        <v>0</v>
      </c>
      <c r="L68" s="132">
        <f t="shared" si="11"/>
        <v>0</v>
      </c>
      <c r="M68" s="131">
        <f t="shared" si="12"/>
        <v>0</v>
      </c>
    </row>
    <row r="69" spans="1:27" x14ac:dyDescent="0.2">
      <c r="A69" s="94" t="str">
        <f t="shared" ref="A69:B69" si="28">IF(A24="","",A24)</f>
        <v/>
      </c>
      <c r="B69" s="161" t="str">
        <f t="shared" si="28"/>
        <v/>
      </c>
      <c r="C69" s="55">
        <f t="shared" si="2"/>
        <v>0</v>
      </c>
      <c r="D69" s="55">
        <f t="shared" si="3"/>
        <v>0</v>
      </c>
      <c r="E69" s="55">
        <f t="shared" si="4"/>
        <v>0</v>
      </c>
      <c r="F69" s="55">
        <f t="shared" si="5"/>
        <v>0</v>
      </c>
      <c r="G69" s="55">
        <f t="shared" si="6"/>
        <v>0</v>
      </c>
      <c r="H69" s="55">
        <f t="shared" si="7"/>
        <v>0</v>
      </c>
      <c r="I69" s="56">
        <f t="shared" si="8"/>
        <v>0</v>
      </c>
      <c r="J69" s="56">
        <f t="shared" si="9"/>
        <v>0</v>
      </c>
      <c r="K69" s="56">
        <f t="shared" si="10"/>
        <v>0</v>
      </c>
      <c r="L69" s="132">
        <f t="shared" si="11"/>
        <v>0</v>
      </c>
      <c r="M69" s="131">
        <f t="shared" si="12"/>
        <v>0</v>
      </c>
    </row>
    <row r="70" spans="1:27" x14ac:dyDescent="0.2">
      <c r="A70" s="94" t="str">
        <f t="shared" ref="A70:B70" si="29">IF(A25="","",A25)</f>
        <v/>
      </c>
      <c r="B70" s="161" t="str">
        <f t="shared" si="29"/>
        <v/>
      </c>
      <c r="C70" s="55">
        <f t="shared" si="2"/>
        <v>0</v>
      </c>
      <c r="D70" s="55">
        <f t="shared" si="3"/>
        <v>0</v>
      </c>
      <c r="E70" s="55">
        <f t="shared" si="4"/>
        <v>0</v>
      </c>
      <c r="F70" s="55">
        <f t="shared" si="5"/>
        <v>0</v>
      </c>
      <c r="G70" s="55">
        <f t="shared" si="6"/>
        <v>0</v>
      </c>
      <c r="H70" s="55">
        <f t="shared" si="7"/>
        <v>0</v>
      </c>
      <c r="I70" s="56">
        <f t="shared" si="8"/>
        <v>0</v>
      </c>
      <c r="J70" s="56">
        <f t="shared" si="9"/>
        <v>0</v>
      </c>
      <c r="K70" s="56">
        <f t="shared" si="10"/>
        <v>0</v>
      </c>
      <c r="L70" s="132">
        <f t="shared" si="11"/>
        <v>0</v>
      </c>
      <c r="M70" s="131">
        <f t="shared" si="12"/>
        <v>0</v>
      </c>
    </row>
    <row r="71" spans="1:27" ht="18.75" x14ac:dyDescent="0.3">
      <c r="A71" s="94" t="str">
        <f t="shared" ref="A71:B71" si="30">IF(A26="","",A26)</f>
        <v/>
      </c>
      <c r="B71" s="161" t="str">
        <f t="shared" si="30"/>
        <v/>
      </c>
      <c r="C71" s="55">
        <f t="shared" si="2"/>
        <v>0</v>
      </c>
      <c r="D71" s="55">
        <f t="shared" si="3"/>
        <v>0</v>
      </c>
      <c r="E71" s="55">
        <f t="shared" si="4"/>
        <v>0</v>
      </c>
      <c r="F71" s="55">
        <f t="shared" si="5"/>
        <v>0</v>
      </c>
      <c r="G71" s="55">
        <f t="shared" si="6"/>
        <v>0</v>
      </c>
      <c r="H71" s="55">
        <f t="shared" si="7"/>
        <v>0</v>
      </c>
      <c r="I71" s="56">
        <f t="shared" si="8"/>
        <v>0</v>
      </c>
      <c r="J71" s="56">
        <f t="shared" si="9"/>
        <v>0</v>
      </c>
      <c r="K71" s="56">
        <f t="shared" si="10"/>
        <v>0</v>
      </c>
      <c r="L71" s="132">
        <f t="shared" si="11"/>
        <v>0</v>
      </c>
      <c r="M71" s="131">
        <f t="shared" si="12"/>
        <v>0</v>
      </c>
      <c r="AA71" s="88" t="s">
        <v>43</v>
      </c>
    </row>
    <row r="72" spans="1:27" x14ac:dyDescent="0.2">
      <c r="A72" s="94" t="str">
        <f t="shared" ref="A72:B72" si="31">IF(A27="","",A27)</f>
        <v/>
      </c>
      <c r="B72" s="161" t="str">
        <f t="shared" si="31"/>
        <v/>
      </c>
      <c r="C72" s="55">
        <f t="shared" si="2"/>
        <v>0</v>
      </c>
      <c r="D72" s="55">
        <f t="shared" si="3"/>
        <v>0</v>
      </c>
      <c r="E72" s="55">
        <f t="shared" si="4"/>
        <v>0</v>
      </c>
      <c r="F72" s="55">
        <f t="shared" si="5"/>
        <v>0</v>
      </c>
      <c r="G72" s="55">
        <f t="shared" si="6"/>
        <v>0</v>
      </c>
      <c r="H72" s="55">
        <f t="shared" si="7"/>
        <v>0</v>
      </c>
      <c r="I72" s="56">
        <f t="shared" si="8"/>
        <v>0</v>
      </c>
      <c r="J72" s="56">
        <f t="shared" si="9"/>
        <v>0</v>
      </c>
      <c r="K72" s="56">
        <f t="shared" si="10"/>
        <v>0</v>
      </c>
      <c r="L72" s="132">
        <f t="shared" si="11"/>
        <v>0</v>
      </c>
      <c r="M72" s="131">
        <f t="shared" si="12"/>
        <v>0</v>
      </c>
      <c r="AA72" s="89" t="s">
        <v>61</v>
      </c>
    </row>
    <row r="73" spans="1:27" x14ac:dyDescent="0.2">
      <c r="A73" s="94" t="str">
        <f t="shared" ref="A73:B73" si="32">IF(A28="","",A28)</f>
        <v/>
      </c>
      <c r="B73" s="161" t="str">
        <f t="shared" si="32"/>
        <v/>
      </c>
      <c r="C73" s="55">
        <f t="shared" si="2"/>
        <v>0</v>
      </c>
      <c r="D73" s="55">
        <f t="shared" si="3"/>
        <v>0</v>
      </c>
      <c r="E73" s="55">
        <f t="shared" si="4"/>
        <v>0</v>
      </c>
      <c r="F73" s="55">
        <f t="shared" si="5"/>
        <v>0</v>
      </c>
      <c r="G73" s="55">
        <f t="shared" si="6"/>
        <v>0</v>
      </c>
      <c r="H73" s="55">
        <f t="shared" si="7"/>
        <v>0</v>
      </c>
      <c r="I73" s="56">
        <f t="shared" si="8"/>
        <v>0</v>
      </c>
      <c r="J73" s="56">
        <f t="shared" si="9"/>
        <v>0</v>
      </c>
      <c r="K73" s="56">
        <f t="shared" si="10"/>
        <v>0</v>
      </c>
      <c r="L73" s="132">
        <f t="shared" si="11"/>
        <v>0</v>
      </c>
      <c r="M73" s="131">
        <f t="shared" si="12"/>
        <v>0</v>
      </c>
      <c r="AA73" s="89" t="s">
        <v>54</v>
      </c>
    </row>
    <row r="74" spans="1:27" x14ac:dyDescent="0.2">
      <c r="A74" s="94" t="str">
        <f t="shared" ref="A74:B74" si="33">IF(A29="","",A29)</f>
        <v/>
      </c>
      <c r="B74" s="161" t="str">
        <f t="shared" si="33"/>
        <v/>
      </c>
      <c r="C74" s="55">
        <f t="shared" si="2"/>
        <v>0</v>
      </c>
      <c r="D74" s="55">
        <f t="shared" si="3"/>
        <v>0</v>
      </c>
      <c r="E74" s="55">
        <f t="shared" si="4"/>
        <v>0</v>
      </c>
      <c r="F74" s="55">
        <f t="shared" si="5"/>
        <v>0</v>
      </c>
      <c r="G74" s="55">
        <f t="shared" si="6"/>
        <v>0</v>
      </c>
      <c r="H74" s="55">
        <f t="shared" si="7"/>
        <v>0</v>
      </c>
      <c r="I74" s="56">
        <f t="shared" si="8"/>
        <v>0</v>
      </c>
      <c r="J74" s="56">
        <f t="shared" si="9"/>
        <v>0</v>
      </c>
      <c r="K74" s="56">
        <f t="shared" si="10"/>
        <v>0</v>
      </c>
      <c r="L74" s="132">
        <f t="shared" si="11"/>
        <v>0</v>
      </c>
      <c r="M74" s="131">
        <f t="shared" si="12"/>
        <v>0</v>
      </c>
      <c r="AA74" s="89" t="s">
        <v>55</v>
      </c>
    </row>
    <row r="75" spans="1:27" x14ac:dyDescent="0.2">
      <c r="A75" s="94" t="str">
        <f t="shared" ref="A75:B75" si="34">IF(A30="","",A30)</f>
        <v/>
      </c>
      <c r="B75" s="161" t="str">
        <f t="shared" si="34"/>
        <v/>
      </c>
      <c r="C75" s="55">
        <f t="shared" si="2"/>
        <v>0</v>
      </c>
      <c r="D75" s="55">
        <f t="shared" si="3"/>
        <v>0</v>
      </c>
      <c r="E75" s="55">
        <f t="shared" si="4"/>
        <v>0</v>
      </c>
      <c r="F75" s="55">
        <f t="shared" si="5"/>
        <v>0</v>
      </c>
      <c r="G75" s="55">
        <f t="shared" si="6"/>
        <v>0</v>
      </c>
      <c r="H75" s="55">
        <f t="shared" si="7"/>
        <v>0</v>
      </c>
      <c r="I75" s="56">
        <f t="shared" si="8"/>
        <v>0</v>
      </c>
      <c r="J75" s="56">
        <f t="shared" si="9"/>
        <v>0</v>
      </c>
      <c r="K75" s="56">
        <f t="shared" si="10"/>
        <v>0</v>
      </c>
      <c r="L75" s="132">
        <f t="shared" si="11"/>
        <v>0</v>
      </c>
      <c r="M75" s="131">
        <f t="shared" si="12"/>
        <v>0</v>
      </c>
      <c r="AA75" s="89" t="s">
        <v>56</v>
      </c>
    </row>
    <row r="76" spans="1:27" x14ac:dyDescent="0.2">
      <c r="A76" s="94" t="str">
        <f t="shared" ref="A76:B76" si="35">IF(A31="","",A31)</f>
        <v/>
      </c>
      <c r="B76" s="161" t="str">
        <f t="shared" si="35"/>
        <v/>
      </c>
      <c r="C76" s="55">
        <f t="shared" si="2"/>
        <v>0</v>
      </c>
      <c r="D76" s="55">
        <f t="shared" si="3"/>
        <v>0</v>
      </c>
      <c r="E76" s="55">
        <f t="shared" si="4"/>
        <v>0</v>
      </c>
      <c r="F76" s="55">
        <f t="shared" si="5"/>
        <v>0</v>
      </c>
      <c r="G76" s="55">
        <f t="shared" si="6"/>
        <v>0</v>
      </c>
      <c r="H76" s="55">
        <f t="shared" si="7"/>
        <v>0</v>
      </c>
      <c r="I76" s="56">
        <f t="shared" si="8"/>
        <v>0</v>
      </c>
      <c r="J76" s="56">
        <f t="shared" si="9"/>
        <v>0</v>
      </c>
      <c r="K76" s="56">
        <f t="shared" si="10"/>
        <v>0</v>
      </c>
      <c r="L76" s="132">
        <f t="shared" si="11"/>
        <v>0</v>
      </c>
      <c r="M76" s="131">
        <f t="shared" si="12"/>
        <v>0</v>
      </c>
      <c r="AA76" s="89" t="s">
        <v>57</v>
      </c>
    </row>
    <row r="77" spans="1:27" x14ac:dyDescent="0.2">
      <c r="A77" s="94" t="str">
        <f t="shared" ref="A77:B77" si="36">IF(A32="","",A32)</f>
        <v/>
      </c>
      <c r="B77" s="161" t="str">
        <f t="shared" si="36"/>
        <v/>
      </c>
      <c r="C77" s="55">
        <f t="shared" si="2"/>
        <v>0</v>
      </c>
      <c r="D77" s="55">
        <f t="shared" si="3"/>
        <v>0</v>
      </c>
      <c r="E77" s="55">
        <f t="shared" si="4"/>
        <v>0</v>
      </c>
      <c r="F77" s="55">
        <f t="shared" si="5"/>
        <v>0</v>
      </c>
      <c r="G77" s="55">
        <f t="shared" si="6"/>
        <v>0</v>
      </c>
      <c r="H77" s="55">
        <f t="shared" si="7"/>
        <v>0</v>
      </c>
      <c r="I77" s="56">
        <f t="shared" si="8"/>
        <v>0</v>
      </c>
      <c r="J77" s="56">
        <f t="shared" si="9"/>
        <v>0</v>
      </c>
      <c r="K77" s="56">
        <f t="shared" si="10"/>
        <v>0</v>
      </c>
      <c r="L77" s="132">
        <f t="shared" si="11"/>
        <v>0</v>
      </c>
      <c r="M77" s="131">
        <f t="shared" si="12"/>
        <v>0</v>
      </c>
      <c r="AA77" s="44"/>
    </row>
    <row r="78" spans="1:27" x14ac:dyDescent="0.2">
      <c r="A78" s="94" t="str">
        <f t="shared" ref="A78:B78" si="37">IF(A33="","",A33)</f>
        <v/>
      </c>
      <c r="B78" s="161" t="str">
        <f t="shared" si="37"/>
        <v/>
      </c>
      <c r="C78" s="55">
        <f t="shared" si="2"/>
        <v>0</v>
      </c>
      <c r="D78" s="55">
        <f t="shared" si="3"/>
        <v>0</v>
      </c>
      <c r="E78" s="55">
        <f t="shared" si="4"/>
        <v>0</v>
      </c>
      <c r="F78" s="55">
        <f t="shared" si="5"/>
        <v>0</v>
      </c>
      <c r="G78" s="55">
        <f t="shared" si="6"/>
        <v>0</v>
      </c>
      <c r="H78" s="55">
        <f t="shared" si="7"/>
        <v>0</v>
      </c>
      <c r="I78" s="56">
        <f t="shared" si="8"/>
        <v>0</v>
      </c>
      <c r="J78" s="56">
        <f t="shared" si="9"/>
        <v>0</v>
      </c>
      <c r="K78" s="56">
        <f t="shared" si="10"/>
        <v>0</v>
      </c>
      <c r="L78" s="132">
        <f t="shared" si="11"/>
        <v>0</v>
      </c>
      <c r="M78" s="131">
        <f t="shared" si="12"/>
        <v>0</v>
      </c>
    </row>
    <row r="79" spans="1:27" x14ac:dyDescent="0.2">
      <c r="A79" s="94" t="str">
        <f t="shared" ref="A79:B79" si="38">IF(A34="","",A34)</f>
        <v/>
      </c>
      <c r="B79" s="161" t="str">
        <f t="shared" si="38"/>
        <v/>
      </c>
      <c r="C79" s="55">
        <f t="shared" si="2"/>
        <v>0</v>
      </c>
      <c r="D79" s="55">
        <f t="shared" si="3"/>
        <v>0</v>
      </c>
      <c r="E79" s="55">
        <f t="shared" si="4"/>
        <v>0</v>
      </c>
      <c r="F79" s="55">
        <f t="shared" si="5"/>
        <v>0</v>
      </c>
      <c r="G79" s="55">
        <f t="shared" si="6"/>
        <v>0</v>
      </c>
      <c r="H79" s="55">
        <f t="shared" si="7"/>
        <v>0</v>
      </c>
      <c r="I79" s="56">
        <f t="shared" si="8"/>
        <v>0</v>
      </c>
      <c r="J79" s="56">
        <f t="shared" si="9"/>
        <v>0</v>
      </c>
      <c r="K79" s="56">
        <f t="shared" si="10"/>
        <v>0</v>
      </c>
      <c r="L79" s="132">
        <f t="shared" si="11"/>
        <v>0</v>
      </c>
      <c r="M79" s="131">
        <f t="shared" si="12"/>
        <v>0</v>
      </c>
    </row>
    <row r="80" spans="1:27" x14ac:dyDescent="0.2">
      <c r="A80" s="94" t="str">
        <f t="shared" ref="A80:B80" si="39">IF(A35="","",A35)</f>
        <v/>
      </c>
      <c r="B80" s="161" t="str">
        <f t="shared" si="39"/>
        <v/>
      </c>
      <c r="C80" s="55">
        <f t="shared" si="2"/>
        <v>0</v>
      </c>
      <c r="D80" s="55">
        <f t="shared" si="3"/>
        <v>0</v>
      </c>
      <c r="E80" s="55">
        <f t="shared" si="4"/>
        <v>0</v>
      </c>
      <c r="F80" s="55">
        <f t="shared" si="5"/>
        <v>0</v>
      </c>
      <c r="G80" s="55">
        <f t="shared" si="6"/>
        <v>0</v>
      </c>
      <c r="H80" s="55">
        <f t="shared" si="7"/>
        <v>0</v>
      </c>
      <c r="I80" s="56">
        <f t="shared" si="8"/>
        <v>0</v>
      </c>
      <c r="J80" s="56">
        <f t="shared" si="9"/>
        <v>0</v>
      </c>
      <c r="K80" s="56">
        <f t="shared" si="10"/>
        <v>0</v>
      </c>
      <c r="L80" s="132">
        <f t="shared" si="11"/>
        <v>0</v>
      </c>
      <c r="M80" s="131">
        <f t="shared" si="12"/>
        <v>0</v>
      </c>
    </row>
    <row r="81" spans="1:13" x14ac:dyDescent="0.2">
      <c r="A81" s="94" t="str">
        <f t="shared" ref="A81:B81" si="40">IF(A36="","",A36)</f>
        <v/>
      </c>
      <c r="B81" s="161" t="str">
        <f t="shared" si="40"/>
        <v/>
      </c>
      <c r="C81" s="55">
        <f t="shared" si="2"/>
        <v>0</v>
      </c>
      <c r="D81" s="55">
        <f t="shared" si="3"/>
        <v>0</v>
      </c>
      <c r="E81" s="55">
        <f t="shared" si="4"/>
        <v>0</v>
      </c>
      <c r="F81" s="55">
        <f t="shared" si="5"/>
        <v>0</v>
      </c>
      <c r="G81" s="55">
        <f t="shared" si="6"/>
        <v>0</v>
      </c>
      <c r="H81" s="55">
        <f t="shared" si="7"/>
        <v>0</v>
      </c>
      <c r="I81" s="56">
        <f t="shared" si="8"/>
        <v>0</v>
      </c>
      <c r="J81" s="56">
        <f t="shared" si="9"/>
        <v>0</v>
      </c>
      <c r="K81" s="56">
        <f t="shared" si="10"/>
        <v>0</v>
      </c>
      <c r="L81" s="132">
        <f t="shared" si="11"/>
        <v>0</v>
      </c>
      <c r="M81" s="131">
        <f t="shared" si="12"/>
        <v>0</v>
      </c>
    </row>
    <row r="82" spans="1:13" x14ac:dyDescent="0.2">
      <c r="A82" s="94" t="str">
        <f t="shared" ref="A82" si="41">IF(A37="","",A37)</f>
        <v>仕込水（※ラボ吸水）</v>
      </c>
      <c r="B82" s="161">
        <f>IF(B37="","",B37)</f>
        <v>10</v>
      </c>
      <c r="C82" s="55">
        <f t="shared" si="2"/>
        <v>10</v>
      </c>
      <c r="D82" s="55">
        <f t="shared" si="3"/>
        <v>0</v>
      </c>
      <c r="E82" s="55">
        <f t="shared" si="4"/>
        <v>0</v>
      </c>
      <c r="F82" s="55">
        <f t="shared" si="5"/>
        <v>0</v>
      </c>
      <c r="G82" s="55">
        <f t="shared" si="6"/>
        <v>0</v>
      </c>
      <c r="H82" s="55">
        <f t="shared" si="7"/>
        <v>0</v>
      </c>
      <c r="I82" s="56">
        <f t="shared" si="8"/>
        <v>0</v>
      </c>
      <c r="J82" s="56">
        <f t="shared" si="9"/>
        <v>0</v>
      </c>
      <c r="K82" s="56">
        <f t="shared" si="10"/>
        <v>0</v>
      </c>
      <c r="L82" s="132">
        <f t="shared" si="11"/>
        <v>0</v>
      </c>
      <c r="M82" s="131">
        <f t="shared" si="12"/>
        <v>0</v>
      </c>
    </row>
    <row r="83" spans="1:13" x14ac:dyDescent="0.2">
      <c r="A83" s="9" t="s">
        <v>34</v>
      </c>
      <c r="B83" s="60">
        <f t="shared" ref="B83:M83" si="42">SUM(B53:B82)</f>
        <v>483</v>
      </c>
      <c r="C83" s="55">
        <f t="shared" si="42"/>
        <v>146.43299999999999</v>
      </c>
      <c r="D83" s="55">
        <f t="shared" si="42"/>
        <v>22.671999999999997</v>
      </c>
      <c r="E83" s="55">
        <f t="shared" si="42"/>
        <v>64.192499999999995</v>
      </c>
      <c r="F83" s="55">
        <f t="shared" si="42"/>
        <v>233.62199999999996</v>
      </c>
      <c r="G83" s="55">
        <f t="shared" si="42"/>
        <v>1.9650000000000001</v>
      </c>
      <c r="H83" s="55">
        <f t="shared" si="42"/>
        <v>8.5455000000000005</v>
      </c>
      <c r="I83" s="56">
        <f t="shared" si="42"/>
        <v>1412.5021000000002</v>
      </c>
      <c r="J83" s="56">
        <f t="shared" si="42"/>
        <v>0.67700000000000005</v>
      </c>
      <c r="K83" s="56">
        <f t="shared" si="42"/>
        <v>11.8567</v>
      </c>
      <c r="L83" s="55">
        <f t="shared" si="42"/>
        <v>446.39</v>
      </c>
      <c r="M83" s="122">
        <f t="shared" si="42"/>
        <v>1213.9000000000001</v>
      </c>
    </row>
    <row r="84" spans="1:13" x14ac:dyDescent="0.2">
      <c r="A84" s="9" t="s">
        <v>35</v>
      </c>
      <c r="B84" s="41">
        <v>0</v>
      </c>
      <c r="C84" s="60"/>
      <c r="D84" s="60"/>
      <c r="E84" s="60"/>
      <c r="F84" s="60"/>
      <c r="G84" s="60"/>
      <c r="H84" s="60"/>
      <c r="I84" s="61"/>
      <c r="J84" s="62"/>
      <c r="K84" s="62"/>
      <c r="L84" s="121"/>
      <c r="M84" s="120"/>
    </row>
    <row r="85" spans="1:13" x14ac:dyDescent="0.2">
      <c r="A85" s="9" t="s">
        <v>36</v>
      </c>
      <c r="B85" s="60">
        <f>B83-B83*B84/100</f>
        <v>483</v>
      </c>
      <c r="C85" s="55">
        <f>C83-B83*B84/100</f>
        <v>146.43299999999999</v>
      </c>
      <c r="D85" s="55">
        <f t="shared" ref="D85:M85" si="43">SUM(D53:D82)</f>
        <v>22.671999999999997</v>
      </c>
      <c r="E85" s="55">
        <f t="shared" si="43"/>
        <v>64.192499999999995</v>
      </c>
      <c r="F85" s="55">
        <f t="shared" si="43"/>
        <v>233.62199999999996</v>
      </c>
      <c r="G85" s="55">
        <f t="shared" si="43"/>
        <v>1.9650000000000001</v>
      </c>
      <c r="H85" s="55">
        <f t="shared" si="43"/>
        <v>8.5455000000000005</v>
      </c>
      <c r="I85" s="56">
        <f t="shared" si="43"/>
        <v>1412.5021000000002</v>
      </c>
      <c r="J85" s="130">
        <f t="shared" si="43"/>
        <v>0.67700000000000005</v>
      </c>
      <c r="K85" s="130">
        <f t="shared" si="43"/>
        <v>11.8567</v>
      </c>
      <c r="L85" s="129">
        <f t="shared" si="43"/>
        <v>446.39</v>
      </c>
      <c r="M85" s="128">
        <f t="shared" si="43"/>
        <v>1213.9000000000001</v>
      </c>
    </row>
    <row r="86" spans="1:13" x14ac:dyDescent="0.2">
      <c r="A86" s="9" t="s">
        <v>37</v>
      </c>
      <c r="B86" s="63">
        <f>SUM(C86:H86)</f>
        <v>98.899999999999991</v>
      </c>
      <c r="C86" s="63">
        <f>ROUND(+C85/B85*100,1)</f>
        <v>30.3</v>
      </c>
      <c r="D86" s="63">
        <f>ROUND(+D85/B85*100,1)</f>
        <v>4.7</v>
      </c>
      <c r="E86" s="63">
        <f>ROUND(+E85/B85*100,1)</f>
        <v>13.3</v>
      </c>
      <c r="F86" s="63">
        <f>ROUND(+F85/B85*100,1)</f>
        <v>48.4</v>
      </c>
      <c r="G86" s="63">
        <f>ROUND(+G85/B85*100,1)</f>
        <v>0.4</v>
      </c>
      <c r="H86" s="63">
        <f>ROUND(+H85/B85*100,1)</f>
        <v>1.8</v>
      </c>
      <c r="I86" s="64">
        <f>ROUND(+I85/B85*100,1)</f>
        <v>292.39999999999998</v>
      </c>
      <c r="J86" s="56">
        <f>(+J85/B85*100)</f>
        <v>0.14016563146997929</v>
      </c>
      <c r="K86" s="56">
        <f>(+K85/B85*100)</f>
        <v>2.4548033126293998</v>
      </c>
      <c r="L86" s="129">
        <f>(+L85/B85*100)</f>
        <v>92.420289855072454</v>
      </c>
      <c r="M86" s="128">
        <f>(+M85/B85*100)</f>
        <v>251.32505175983439</v>
      </c>
    </row>
    <row r="87" spans="1:13" x14ac:dyDescent="0.2">
      <c r="A87" s="9" t="s">
        <v>38</v>
      </c>
      <c r="B87" s="63">
        <f>SUM(C87:H87)</f>
        <v>100.00000000000001</v>
      </c>
      <c r="C87" s="174">
        <v>30.3</v>
      </c>
      <c r="D87" s="174">
        <v>4.7</v>
      </c>
      <c r="E87" s="174">
        <v>13.3</v>
      </c>
      <c r="F87" s="63">
        <f>F86+100-B86</f>
        <v>49.500000000000014</v>
      </c>
      <c r="G87" s="174">
        <v>0.4</v>
      </c>
      <c r="H87" s="174">
        <v>1.8</v>
      </c>
      <c r="I87" s="174">
        <v>292.39999999999998</v>
      </c>
      <c r="J87" s="175">
        <v>0.14016563146997929</v>
      </c>
      <c r="K87" s="175">
        <v>2.4548033126293998</v>
      </c>
      <c r="L87" s="174">
        <v>92.420289855072454</v>
      </c>
      <c r="M87" s="177">
        <v>251.32505175983439</v>
      </c>
    </row>
    <row r="88" spans="1:13" x14ac:dyDescent="0.2">
      <c r="A88" s="6"/>
      <c r="B88" s="6"/>
      <c r="C88" s="6" t="s">
        <v>39</v>
      </c>
      <c r="D88" s="6"/>
      <c r="E88" s="6"/>
      <c r="F88" s="6"/>
      <c r="G88" s="6"/>
      <c r="H88" s="6"/>
      <c r="I88" s="34"/>
      <c r="J88" s="6"/>
      <c r="K88" s="6"/>
      <c r="L88" s="35"/>
      <c r="M88" s="127"/>
    </row>
    <row r="89" spans="1:13" x14ac:dyDescent="0.2">
      <c r="A89" s="9" t="s">
        <v>24</v>
      </c>
      <c r="B89" s="9" t="s">
        <v>19</v>
      </c>
      <c r="C89" s="9" t="s">
        <v>4</v>
      </c>
      <c r="D89" s="9" t="s">
        <v>5</v>
      </c>
      <c r="E89" s="9" t="s">
        <v>6</v>
      </c>
      <c r="F89" s="9" t="s">
        <v>7</v>
      </c>
      <c r="G89" s="9" t="s">
        <v>8</v>
      </c>
      <c r="H89" s="9" t="s">
        <v>9</v>
      </c>
      <c r="I89" s="10" t="s">
        <v>25</v>
      </c>
      <c r="J89" s="11" t="s">
        <v>11</v>
      </c>
      <c r="K89" s="12" t="s">
        <v>12</v>
      </c>
      <c r="L89" s="126" t="s">
        <v>13</v>
      </c>
      <c r="M89" s="125" t="str">
        <f>M7</f>
        <v>カルシウム</v>
      </c>
    </row>
    <row r="90" spans="1:13" x14ac:dyDescent="0.2">
      <c r="A90" s="31" t="s">
        <v>27</v>
      </c>
      <c r="B90" s="60">
        <f>B40*(100-B84)/100</f>
        <v>99</v>
      </c>
      <c r="C90" s="55">
        <f>C87/100*B90</f>
        <v>29.997</v>
      </c>
      <c r="D90" s="55">
        <f>D87/100*B90</f>
        <v>4.6529999999999996</v>
      </c>
      <c r="E90" s="55">
        <f>E87/100*B90</f>
        <v>13.167000000000002</v>
      </c>
      <c r="F90" s="55">
        <f>F87/100*B90</f>
        <v>49.005000000000017</v>
      </c>
      <c r="G90" s="55">
        <f>G87/100*B90</f>
        <v>0.39600000000000002</v>
      </c>
      <c r="H90" s="55">
        <f>H87/100*B90</f>
        <v>1.7820000000000003</v>
      </c>
      <c r="I90" s="56">
        <f>I87/100*B90</f>
        <v>289.476</v>
      </c>
      <c r="J90" s="62">
        <f>J87/100*B90</f>
        <v>0.1387639751552795</v>
      </c>
      <c r="K90" s="62">
        <f>K87/100*B90</f>
        <v>2.4302552795031058</v>
      </c>
      <c r="L90" s="121">
        <f>L87/100*B90</f>
        <v>91.496086956521737</v>
      </c>
      <c r="M90" s="120">
        <f>M87/100*B90</f>
        <v>248.81180124223604</v>
      </c>
    </row>
    <row r="91" spans="1:13" x14ac:dyDescent="0.2">
      <c r="A91" s="94" t="str">
        <f>IF(A41="","",A41)</f>
        <v/>
      </c>
      <c r="B91" s="161" t="str">
        <f>IF(B41="","",B41)</f>
        <v/>
      </c>
      <c r="C91" s="55">
        <f t="shared" ref="C91:C99" si="44">C41/100*B91</f>
        <v>0</v>
      </c>
      <c r="D91" s="55">
        <f t="shared" ref="D91:D99" si="45">D41/100*B91</f>
        <v>0</v>
      </c>
      <c r="E91" s="55">
        <f t="shared" ref="E91:E99" si="46">E41/100*B91</f>
        <v>0</v>
      </c>
      <c r="F91" s="55">
        <f t="shared" ref="F91:F99" si="47">F41/100*B91</f>
        <v>0</v>
      </c>
      <c r="G91" s="55">
        <f t="shared" ref="G91:G99" si="48">G41/100*B91</f>
        <v>0</v>
      </c>
      <c r="H91" s="55">
        <f t="shared" ref="H91:H99" si="49">H41/100*B91</f>
        <v>0</v>
      </c>
      <c r="I91" s="56">
        <f t="shared" ref="I91:I99" si="50">I41/100*B91</f>
        <v>0</v>
      </c>
      <c r="J91" s="62">
        <f t="shared" ref="J91:J99" si="51">J41/100*B91</f>
        <v>0</v>
      </c>
      <c r="K91" s="62">
        <f t="shared" ref="K91:K99" si="52">K41/100*B91</f>
        <v>0</v>
      </c>
      <c r="L91" s="124">
        <f t="shared" ref="L91:L99" si="53">L41/100*A91</f>
        <v>0</v>
      </c>
      <c r="M91" s="123">
        <f>M41/100*B91</f>
        <v>0</v>
      </c>
    </row>
    <row r="92" spans="1:13" x14ac:dyDescent="0.2">
      <c r="A92" s="94" t="str">
        <f t="shared" ref="A92:B92" si="54">IF(A42="","",A42)</f>
        <v/>
      </c>
      <c r="B92" s="161" t="str">
        <f t="shared" si="54"/>
        <v/>
      </c>
      <c r="C92" s="55">
        <f t="shared" si="44"/>
        <v>0</v>
      </c>
      <c r="D92" s="55">
        <f t="shared" si="45"/>
        <v>0</v>
      </c>
      <c r="E92" s="55">
        <f t="shared" si="46"/>
        <v>0</v>
      </c>
      <c r="F92" s="55">
        <f t="shared" si="47"/>
        <v>0</v>
      </c>
      <c r="G92" s="55">
        <f t="shared" si="48"/>
        <v>0</v>
      </c>
      <c r="H92" s="55">
        <f t="shared" si="49"/>
        <v>0</v>
      </c>
      <c r="I92" s="56">
        <f t="shared" si="50"/>
        <v>0</v>
      </c>
      <c r="J92" s="62">
        <f t="shared" si="51"/>
        <v>0</v>
      </c>
      <c r="K92" s="62">
        <f t="shared" si="52"/>
        <v>0</v>
      </c>
      <c r="L92" s="124">
        <f t="shared" si="53"/>
        <v>0</v>
      </c>
      <c r="M92" s="123">
        <f>M42/100*B92</f>
        <v>0</v>
      </c>
    </row>
    <row r="93" spans="1:13" x14ac:dyDescent="0.2">
      <c r="A93" s="94" t="str">
        <f t="shared" ref="A93:B93" si="55">IF(A43="","",A43)</f>
        <v/>
      </c>
      <c r="B93" s="161" t="str">
        <f t="shared" si="55"/>
        <v/>
      </c>
      <c r="C93" s="55">
        <f t="shared" si="44"/>
        <v>0</v>
      </c>
      <c r="D93" s="55">
        <f t="shared" si="45"/>
        <v>0</v>
      </c>
      <c r="E93" s="55">
        <f t="shared" si="46"/>
        <v>0</v>
      </c>
      <c r="F93" s="55">
        <f t="shared" si="47"/>
        <v>0</v>
      </c>
      <c r="G93" s="55">
        <f t="shared" si="48"/>
        <v>0</v>
      </c>
      <c r="H93" s="55">
        <f t="shared" si="49"/>
        <v>0</v>
      </c>
      <c r="I93" s="56">
        <f t="shared" si="50"/>
        <v>0</v>
      </c>
      <c r="J93" s="62">
        <f t="shared" si="51"/>
        <v>0</v>
      </c>
      <c r="K93" s="62">
        <f t="shared" si="52"/>
        <v>0</v>
      </c>
      <c r="L93" s="124">
        <f t="shared" si="53"/>
        <v>0</v>
      </c>
      <c r="M93" s="123">
        <f t="shared" ref="M93:M99" si="56">M43/100*A93</f>
        <v>0</v>
      </c>
    </row>
    <row r="94" spans="1:13" x14ac:dyDescent="0.2">
      <c r="A94" s="94" t="str">
        <f t="shared" ref="A94:B94" si="57">IF(A44="","",A44)</f>
        <v/>
      </c>
      <c r="B94" s="161" t="str">
        <f t="shared" si="57"/>
        <v/>
      </c>
      <c r="C94" s="55">
        <f t="shared" si="44"/>
        <v>0</v>
      </c>
      <c r="D94" s="55">
        <f t="shared" si="45"/>
        <v>0</v>
      </c>
      <c r="E94" s="55">
        <f t="shared" si="46"/>
        <v>0</v>
      </c>
      <c r="F94" s="55">
        <f t="shared" si="47"/>
        <v>0</v>
      </c>
      <c r="G94" s="55">
        <f t="shared" si="48"/>
        <v>0</v>
      </c>
      <c r="H94" s="55">
        <f t="shared" si="49"/>
        <v>0</v>
      </c>
      <c r="I94" s="56">
        <f t="shared" si="50"/>
        <v>0</v>
      </c>
      <c r="J94" s="62">
        <f t="shared" si="51"/>
        <v>0</v>
      </c>
      <c r="K94" s="62">
        <f t="shared" si="52"/>
        <v>0</v>
      </c>
      <c r="L94" s="124">
        <f t="shared" si="53"/>
        <v>0</v>
      </c>
      <c r="M94" s="123">
        <f t="shared" si="56"/>
        <v>0</v>
      </c>
    </row>
    <row r="95" spans="1:13" x14ac:dyDescent="0.2">
      <c r="A95" s="94" t="str">
        <f t="shared" ref="A95:B95" si="58">IF(A45="","",A45)</f>
        <v/>
      </c>
      <c r="B95" s="161" t="str">
        <f t="shared" si="58"/>
        <v/>
      </c>
      <c r="C95" s="55">
        <f t="shared" si="44"/>
        <v>0</v>
      </c>
      <c r="D95" s="55">
        <f t="shared" si="45"/>
        <v>0</v>
      </c>
      <c r="E95" s="55">
        <f t="shared" si="46"/>
        <v>0</v>
      </c>
      <c r="F95" s="55">
        <f t="shared" si="47"/>
        <v>0</v>
      </c>
      <c r="G95" s="55">
        <f t="shared" si="48"/>
        <v>0</v>
      </c>
      <c r="H95" s="55">
        <f t="shared" si="49"/>
        <v>0</v>
      </c>
      <c r="I95" s="56">
        <f t="shared" si="50"/>
        <v>0</v>
      </c>
      <c r="J95" s="62">
        <f t="shared" si="51"/>
        <v>0</v>
      </c>
      <c r="K95" s="62">
        <f t="shared" si="52"/>
        <v>0</v>
      </c>
      <c r="L95" s="124">
        <f t="shared" si="53"/>
        <v>0</v>
      </c>
      <c r="M95" s="123">
        <f t="shared" si="56"/>
        <v>0</v>
      </c>
    </row>
    <row r="96" spans="1:13" x14ac:dyDescent="0.2">
      <c r="A96" s="94" t="str">
        <f t="shared" ref="A96:B96" si="59">IF(A46="","",A46)</f>
        <v/>
      </c>
      <c r="B96" s="161" t="str">
        <f t="shared" si="59"/>
        <v/>
      </c>
      <c r="C96" s="55">
        <f t="shared" si="44"/>
        <v>0</v>
      </c>
      <c r="D96" s="55">
        <f t="shared" si="45"/>
        <v>0</v>
      </c>
      <c r="E96" s="55">
        <f t="shared" si="46"/>
        <v>0</v>
      </c>
      <c r="F96" s="55">
        <f t="shared" si="47"/>
        <v>0</v>
      </c>
      <c r="G96" s="55">
        <f t="shared" si="48"/>
        <v>0</v>
      </c>
      <c r="H96" s="55">
        <f t="shared" si="49"/>
        <v>0</v>
      </c>
      <c r="I96" s="56">
        <f t="shared" si="50"/>
        <v>0</v>
      </c>
      <c r="J96" s="62">
        <f t="shared" si="51"/>
        <v>0</v>
      </c>
      <c r="K96" s="62">
        <f t="shared" si="52"/>
        <v>0</v>
      </c>
      <c r="L96" s="124">
        <f t="shared" si="53"/>
        <v>0</v>
      </c>
      <c r="M96" s="123">
        <f t="shared" si="56"/>
        <v>0</v>
      </c>
    </row>
    <row r="97" spans="1:13" x14ac:dyDescent="0.2">
      <c r="A97" s="94" t="str">
        <f t="shared" ref="A97:B97" si="60">IF(A47="","",A47)</f>
        <v/>
      </c>
      <c r="B97" s="161" t="str">
        <f t="shared" si="60"/>
        <v/>
      </c>
      <c r="C97" s="55">
        <f t="shared" si="44"/>
        <v>0</v>
      </c>
      <c r="D97" s="55">
        <f t="shared" si="45"/>
        <v>0</v>
      </c>
      <c r="E97" s="55">
        <f t="shared" si="46"/>
        <v>0</v>
      </c>
      <c r="F97" s="55">
        <f t="shared" si="47"/>
        <v>0</v>
      </c>
      <c r="G97" s="55">
        <f t="shared" si="48"/>
        <v>0</v>
      </c>
      <c r="H97" s="55">
        <f t="shared" si="49"/>
        <v>0</v>
      </c>
      <c r="I97" s="56">
        <f t="shared" si="50"/>
        <v>0</v>
      </c>
      <c r="J97" s="62">
        <f t="shared" si="51"/>
        <v>0</v>
      </c>
      <c r="K97" s="62">
        <f t="shared" si="52"/>
        <v>0</v>
      </c>
      <c r="L97" s="124">
        <f t="shared" si="53"/>
        <v>0</v>
      </c>
      <c r="M97" s="123">
        <f t="shared" si="56"/>
        <v>0</v>
      </c>
    </row>
    <row r="98" spans="1:13" x14ac:dyDescent="0.2">
      <c r="A98" s="94" t="str">
        <f t="shared" ref="A98:B98" si="61">IF(A48="","",A48)</f>
        <v/>
      </c>
      <c r="B98" s="161" t="str">
        <f t="shared" si="61"/>
        <v/>
      </c>
      <c r="C98" s="55">
        <f t="shared" si="44"/>
        <v>0</v>
      </c>
      <c r="D98" s="55">
        <f t="shared" si="45"/>
        <v>0</v>
      </c>
      <c r="E98" s="55">
        <f t="shared" si="46"/>
        <v>0</v>
      </c>
      <c r="F98" s="55">
        <f t="shared" si="47"/>
        <v>0</v>
      </c>
      <c r="G98" s="55">
        <f t="shared" si="48"/>
        <v>0</v>
      </c>
      <c r="H98" s="55">
        <f t="shared" si="49"/>
        <v>0</v>
      </c>
      <c r="I98" s="56">
        <f t="shared" si="50"/>
        <v>0</v>
      </c>
      <c r="J98" s="62">
        <f t="shared" si="51"/>
        <v>0</v>
      </c>
      <c r="K98" s="62">
        <f t="shared" si="52"/>
        <v>0</v>
      </c>
      <c r="L98" s="124">
        <f t="shared" si="53"/>
        <v>0</v>
      </c>
      <c r="M98" s="123">
        <f t="shared" si="56"/>
        <v>0</v>
      </c>
    </row>
    <row r="99" spans="1:13" x14ac:dyDescent="0.2">
      <c r="A99" s="94" t="str">
        <f t="shared" ref="A99:B99" si="62">IF(A49="","",A49)</f>
        <v/>
      </c>
      <c r="B99" s="161" t="str">
        <f t="shared" si="62"/>
        <v/>
      </c>
      <c r="C99" s="55">
        <f t="shared" si="44"/>
        <v>0</v>
      </c>
      <c r="D99" s="55">
        <f t="shared" si="45"/>
        <v>0</v>
      </c>
      <c r="E99" s="55">
        <f t="shared" si="46"/>
        <v>0</v>
      </c>
      <c r="F99" s="55">
        <f t="shared" si="47"/>
        <v>0</v>
      </c>
      <c r="G99" s="55">
        <f t="shared" si="48"/>
        <v>0</v>
      </c>
      <c r="H99" s="55">
        <f t="shared" si="49"/>
        <v>0</v>
      </c>
      <c r="I99" s="56">
        <f t="shared" si="50"/>
        <v>0</v>
      </c>
      <c r="J99" s="62">
        <f t="shared" si="51"/>
        <v>0</v>
      </c>
      <c r="K99" s="62">
        <f t="shared" si="52"/>
        <v>0</v>
      </c>
      <c r="L99" s="124">
        <f t="shared" si="53"/>
        <v>0</v>
      </c>
      <c r="M99" s="123">
        <f t="shared" si="56"/>
        <v>0</v>
      </c>
    </row>
    <row r="100" spans="1:13" x14ac:dyDescent="0.2">
      <c r="A100" s="9" t="s">
        <v>34</v>
      </c>
      <c r="B100" s="60">
        <f t="shared" ref="B100:M100" si="63">SUM(B90:B99)</f>
        <v>99</v>
      </c>
      <c r="C100" s="55">
        <f t="shared" si="63"/>
        <v>29.997</v>
      </c>
      <c r="D100" s="55">
        <f t="shared" si="63"/>
        <v>4.6529999999999996</v>
      </c>
      <c r="E100" s="55">
        <f t="shared" si="63"/>
        <v>13.167000000000002</v>
      </c>
      <c r="F100" s="55">
        <f t="shared" si="63"/>
        <v>49.005000000000017</v>
      </c>
      <c r="G100" s="55">
        <f t="shared" si="63"/>
        <v>0.39600000000000002</v>
      </c>
      <c r="H100" s="55">
        <f t="shared" si="63"/>
        <v>1.7820000000000003</v>
      </c>
      <c r="I100" s="56">
        <f t="shared" si="63"/>
        <v>289.476</v>
      </c>
      <c r="J100" s="56">
        <f t="shared" si="63"/>
        <v>0.1387639751552795</v>
      </c>
      <c r="K100" s="56">
        <f t="shared" si="63"/>
        <v>2.4302552795031058</v>
      </c>
      <c r="L100" s="55">
        <f t="shared" si="63"/>
        <v>91.496086956521737</v>
      </c>
      <c r="M100" s="122">
        <f t="shared" si="63"/>
        <v>248.81180124223604</v>
      </c>
    </row>
    <row r="101" spans="1:13" x14ac:dyDescent="0.2">
      <c r="A101" s="9" t="s">
        <v>35</v>
      </c>
      <c r="B101" s="41">
        <v>0</v>
      </c>
      <c r="C101" s="60"/>
      <c r="D101" s="60"/>
      <c r="E101" s="60"/>
      <c r="F101" s="60"/>
      <c r="G101" s="60"/>
      <c r="H101" s="60"/>
      <c r="I101" s="61"/>
      <c r="J101" s="61"/>
      <c r="K101" s="61"/>
      <c r="L101" s="121"/>
      <c r="M101" s="120"/>
    </row>
    <row r="102" spans="1:13" x14ac:dyDescent="0.2">
      <c r="A102" s="9" t="s">
        <v>36</v>
      </c>
      <c r="B102" s="60">
        <f>B100-B100*B101/100</f>
        <v>99</v>
      </c>
      <c r="C102" s="55">
        <f>C100-B100*B101/100</f>
        <v>29.997</v>
      </c>
      <c r="D102" s="55">
        <f t="shared" ref="D102:M102" si="64">SUM(D90:D99)</f>
        <v>4.6529999999999996</v>
      </c>
      <c r="E102" s="55">
        <f t="shared" si="64"/>
        <v>13.167000000000002</v>
      </c>
      <c r="F102" s="55">
        <f t="shared" si="64"/>
        <v>49.005000000000017</v>
      </c>
      <c r="G102" s="55">
        <f t="shared" si="64"/>
        <v>0.39600000000000002</v>
      </c>
      <c r="H102" s="55">
        <f t="shared" si="64"/>
        <v>1.7820000000000003</v>
      </c>
      <c r="I102" s="56">
        <f t="shared" si="64"/>
        <v>289.476</v>
      </c>
      <c r="J102" s="65">
        <f t="shared" si="64"/>
        <v>0.1387639751552795</v>
      </c>
      <c r="K102" s="65">
        <f t="shared" si="64"/>
        <v>2.4302552795031058</v>
      </c>
      <c r="L102" s="119">
        <f t="shared" si="64"/>
        <v>91.496086956521737</v>
      </c>
      <c r="M102" s="118">
        <f t="shared" si="64"/>
        <v>248.81180124223604</v>
      </c>
    </row>
    <row r="103" spans="1:13" ht="18" thickBot="1" x14ac:dyDescent="0.25">
      <c r="A103" s="66" t="s">
        <v>37</v>
      </c>
      <c r="B103" s="67">
        <f>SUM(C103:H103)</f>
        <v>100</v>
      </c>
      <c r="C103" s="67">
        <f>ROUND(+C102/B102*100,1)</f>
        <v>30.3</v>
      </c>
      <c r="D103" s="67">
        <f>ROUND(+D102/B102*100,1)</f>
        <v>4.7</v>
      </c>
      <c r="E103" s="67">
        <f>ROUND(+E102/B102*100,1)</f>
        <v>13.3</v>
      </c>
      <c r="F103" s="67">
        <f>ROUND(+F102/B102*100,1)</f>
        <v>49.5</v>
      </c>
      <c r="G103" s="67">
        <f>ROUND(+G102/B102*100,1)</f>
        <v>0.4</v>
      </c>
      <c r="H103" s="67">
        <f>ROUND(+H102/B102*100,1)</f>
        <v>1.8</v>
      </c>
      <c r="I103" s="117">
        <f>ROUND(+I102/B102*100,0)</f>
        <v>292</v>
      </c>
      <c r="J103" s="90">
        <f>ROUND(+J102/B102*100,2)</f>
        <v>0.14000000000000001</v>
      </c>
      <c r="K103" s="90">
        <f>ROUND(+K102/B102*100,2)</f>
        <v>2.4500000000000002</v>
      </c>
      <c r="L103" s="116">
        <f>ROUND(+L102/B102*100,0)</f>
        <v>92</v>
      </c>
      <c r="M103" s="115">
        <f>ROUND(+M102/B102*100,0)</f>
        <v>251</v>
      </c>
    </row>
    <row r="104" spans="1:13" ht="18.75" thickTop="1" thickBot="1" x14ac:dyDescent="0.25">
      <c r="A104" s="68" t="s">
        <v>38</v>
      </c>
      <c r="B104" s="69">
        <f>SUM(C104:H104)</f>
        <v>100</v>
      </c>
      <c r="C104" s="176">
        <v>30.3</v>
      </c>
      <c r="D104" s="176">
        <v>4.7</v>
      </c>
      <c r="E104" s="176">
        <v>13.3</v>
      </c>
      <c r="F104" s="114">
        <f>F103+100-B103</f>
        <v>49.5</v>
      </c>
      <c r="G104" s="176">
        <v>0.4</v>
      </c>
      <c r="H104" s="176">
        <v>1.8</v>
      </c>
      <c r="I104" s="176">
        <v>292</v>
      </c>
      <c r="J104" s="178">
        <v>0.14000000000000001</v>
      </c>
      <c r="K104" s="178">
        <v>2.4500000000000002</v>
      </c>
      <c r="L104" s="176">
        <v>92</v>
      </c>
      <c r="M104" s="179">
        <v>251</v>
      </c>
    </row>
    <row r="105" spans="1:13" ht="18.75" thickTop="1" thickBot="1" x14ac:dyDescent="0.25">
      <c r="A105" s="70"/>
      <c r="B105" s="71"/>
      <c r="C105" s="113"/>
      <c r="D105" s="72"/>
      <c r="E105" s="72"/>
      <c r="F105" s="73" t="s">
        <v>20</v>
      </c>
      <c r="G105" s="74"/>
      <c r="H105" s="72"/>
      <c r="I105" s="72"/>
      <c r="J105" s="72"/>
      <c r="K105" s="72"/>
      <c r="L105" s="8"/>
      <c r="M105" s="8"/>
    </row>
    <row r="106" spans="1:13" ht="18.75" thickTop="1" thickBot="1" x14ac:dyDescent="0.25">
      <c r="A106" s="165" t="s">
        <v>72</v>
      </c>
      <c r="B106" s="166">
        <v>33</v>
      </c>
      <c r="C106" s="167" t="str">
        <f>IF(COUNTIF(A6,"*ｾﾌﾞﾝﾌﾟﾚﾐｱﾑ*")+COUNTIF(A6,"*7P*"),"7P 複数個入り注意!!","")</f>
        <v/>
      </c>
      <c r="D106" s="72"/>
      <c r="E106" s="72"/>
      <c r="F106" s="75">
        <f>SUM(F104:G104)</f>
        <v>49.9</v>
      </c>
      <c r="G106" s="72"/>
      <c r="H106" s="72"/>
      <c r="I106" s="72"/>
      <c r="J106" s="72"/>
      <c r="K106" s="72"/>
      <c r="L106" s="8"/>
      <c r="M106" s="8"/>
    </row>
    <row r="107" spans="1:13" ht="18" x14ac:dyDescent="0.2">
      <c r="A107" s="2"/>
      <c r="B107" s="2"/>
      <c r="C107" s="2"/>
      <c r="D107" s="2"/>
      <c r="E107" s="76"/>
      <c r="F107" s="77"/>
      <c r="G107" s="2"/>
      <c r="H107" s="2"/>
      <c r="I107" s="2"/>
      <c r="J107" s="2"/>
      <c r="K107" s="2"/>
      <c r="L107" s="3"/>
      <c r="M107" s="3"/>
    </row>
    <row r="108" spans="1:13" ht="18.75" thickBot="1" x14ac:dyDescent="0.25">
      <c r="A108" s="78" t="s">
        <v>40</v>
      </c>
      <c r="B108" s="79"/>
      <c r="C108" s="80">
        <f>ROUND(+D104*4+E104*9+F104*4+G104*4,0)</f>
        <v>338</v>
      </c>
      <c r="D108" s="78" t="s">
        <v>41</v>
      </c>
      <c r="E108" s="81"/>
      <c r="F108" s="76"/>
      <c r="G108" s="2"/>
      <c r="H108" s="2"/>
      <c r="I108" s="2"/>
      <c r="J108" s="2"/>
      <c r="K108" s="2"/>
      <c r="L108" s="3"/>
      <c r="M108" s="3"/>
    </row>
    <row r="109" spans="1:13" ht="18" thickTop="1" x14ac:dyDescent="0.2">
      <c r="A109" s="2"/>
      <c r="B109" s="82"/>
      <c r="C109" s="82"/>
      <c r="D109" s="82"/>
      <c r="G109" s="82"/>
      <c r="H109" s="82"/>
      <c r="I109" s="82"/>
      <c r="J109" s="82"/>
      <c r="K109" s="82"/>
      <c r="L109" s="3"/>
      <c r="M109" s="3"/>
    </row>
    <row r="110" spans="1:13" x14ac:dyDescent="0.2">
      <c r="A110" s="2"/>
      <c r="B110" s="82"/>
      <c r="C110" s="82"/>
      <c r="D110" s="82"/>
      <c r="E110" s="82"/>
      <c r="F110" s="82"/>
      <c r="G110" s="82"/>
      <c r="H110" s="82"/>
      <c r="I110" s="82"/>
      <c r="J110" s="82"/>
      <c r="K110" s="82"/>
      <c r="L110" s="3"/>
      <c r="M110" s="3"/>
    </row>
    <row r="111" spans="1:13" x14ac:dyDescent="0.2">
      <c r="A111" s="2"/>
      <c r="B111" s="82"/>
      <c r="C111" s="97" t="s">
        <v>45</v>
      </c>
      <c r="D111" s="82"/>
      <c r="E111" s="82" t="str">
        <f>AG12</f>
        <v>1包装当たり</v>
      </c>
      <c r="F111" s="82"/>
      <c r="G111" s="82"/>
      <c r="H111" s="82"/>
      <c r="I111" s="82"/>
      <c r="J111" s="82"/>
      <c r="K111" s="82"/>
      <c r="L111" s="3"/>
      <c r="M111" s="3"/>
    </row>
    <row r="112" spans="1:13" x14ac:dyDescent="0.2">
      <c r="A112" s="2"/>
      <c r="B112" s="82"/>
      <c r="C112" s="98" t="s">
        <v>46</v>
      </c>
      <c r="D112" s="98" t="s">
        <v>17</v>
      </c>
      <c r="E112" s="98" t="s">
        <v>18</v>
      </c>
      <c r="F112" s="98" t="s">
        <v>20</v>
      </c>
      <c r="G112" s="98" t="s">
        <v>21</v>
      </c>
      <c r="H112" s="98" t="s">
        <v>12</v>
      </c>
      <c r="I112" s="98" t="s">
        <v>47</v>
      </c>
      <c r="J112" s="98" t="s">
        <v>48</v>
      </c>
      <c r="K112" s="98" t="s">
        <v>63</v>
      </c>
      <c r="L112" s="3"/>
      <c r="M112" s="3"/>
    </row>
    <row r="113" spans="1:13" x14ac:dyDescent="0.2">
      <c r="A113" s="2"/>
      <c r="B113" s="82"/>
      <c r="C113" s="99">
        <f>AG14</f>
        <v>335</v>
      </c>
      <c r="D113" s="100">
        <f>AG15</f>
        <v>4.7</v>
      </c>
      <c r="E113" s="100">
        <f>AG16</f>
        <v>13.2</v>
      </c>
      <c r="F113" s="101">
        <f>AG17</f>
        <v>49.4</v>
      </c>
      <c r="G113" s="102">
        <f>AG18</f>
        <v>0.73</v>
      </c>
      <c r="H113" s="103">
        <f>AG24</f>
        <v>2.4300000000000002</v>
      </c>
      <c r="I113" s="102">
        <f>IF(AG13&gt;=100,AG25,IF(AE25&lt;0.3,0,AG25))</f>
        <v>0</v>
      </c>
      <c r="J113" s="104">
        <f>IF(AE26&lt;5,0,AG26)</f>
        <v>91</v>
      </c>
      <c r="K113" s="170" t="str">
        <f>AA19&amp;":"&amp;TEXT(AG19,"G/標準")&amp;AH19</f>
        <v>カルシウム:248mg</v>
      </c>
      <c r="L113" s="3"/>
      <c r="M113" s="3"/>
    </row>
    <row r="114" spans="1:13" x14ac:dyDescent="0.2">
      <c r="A114" s="2"/>
      <c r="B114" s="82"/>
      <c r="C114" s="105" t="s">
        <v>49</v>
      </c>
      <c r="D114" s="106" t="s">
        <v>50</v>
      </c>
      <c r="E114" s="106" t="s">
        <v>50</v>
      </c>
      <c r="F114" s="107" t="s">
        <v>50</v>
      </c>
      <c r="G114" s="106" t="s">
        <v>50</v>
      </c>
      <c r="H114" s="107" t="s">
        <v>50</v>
      </c>
      <c r="I114" s="106" t="s">
        <v>50</v>
      </c>
      <c r="J114" s="108" t="s">
        <v>51</v>
      </c>
      <c r="K114" s="171"/>
      <c r="L114" s="3"/>
      <c r="M114" s="3"/>
    </row>
    <row r="115" spans="1:13" x14ac:dyDescent="0.2">
      <c r="A115" s="2"/>
      <c r="B115" s="82"/>
      <c r="C115" s="82"/>
      <c r="D115" s="82"/>
      <c r="E115" s="82"/>
      <c r="F115" s="82"/>
      <c r="G115" s="82"/>
      <c r="H115" s="82"/>
      <c r="I115" s="82"/>
      <c r="J115" s="82"/>
      <c r="K115" s="82"/>
      <c r="L115" s="3"/>
      <c r="M115" s="3"/>
    </row>
    <row r="117" spans="1:13" x14ac:dyDescent="0.2">
      <c r="A117" s="89"/>
    </row>
    <row r="118" spans="1:13" x14ac:dyDescent="0.2">
      <c r="A118" s="89"/>
    </row>
    <row r="119" spans="1:13" x14ac:dyDescent="0.2">
      <c r="A119" s="109"/>
    </row>
    <row r="120" spans="1:13" x14ac:dyDescent="0.2">
      <c r="A120" s="89"/>
    </row>
  </sheetData>
  <mergeCells count="8">
    <mergeCell ref="G4:H4"/>
    <mergeCell ref="AE12:AE13"/>
    <mergeCell ref="AA31:AJ31"/>
    <mergeCell ref="AK12:AK13"/>
    <mergeCell ref="A5:E5"/>
    <mergeCell ref="A6:E6"/>
    <mergeCell ref="AB7:AI7"/>
    <mergeCell ref="AG12:AI12"/>
  </mergeCells>
  <phoneticPr fontId="3"/>
  <conditionalFormatting sqref="AJ1:AJ1048576 AC1:AI6 AC8:AI1048576 AA11:AB1048576 AA1:AB7 AA8:AA10 AB8:AB9">
    <cfRule type="expression" dxfId="9" priority="8" stopIfTrue="1">
      <formula>$A$2="出力なし"</formula>
    </cfRule>
  </conditionalFormatting>
  <conditionalFormatting sqref="AG12:AI12">
    <cfRule type="expression" dxfId="8" priority="14" stopIfTrue="1">
      <formula>NOT(AG12="1個当たり")</formula>
    </cfRule>
  </conditionalFormatting>
  <conditionalFormatting sqref="AA31:AJ31">
    <cfRule type="expression" dxfId="7" priority="13" stopIfTrue="1">
      <formula>NOT(AA31="この表示値は、目安です。")</formula>
    </cfRule>
  </conditionalFormatting>
  <conditionalFormatting sqref="AG26">
    <cfRule type="expression" dxfId="6" priority="12" stopIfTrue="1">
      <formula>IF(AND(COUNTIF($A$6,"&lt;&gt;*様*"),$AE$26&lt;5),TRUE,FALSE)</formula>
    </cfRule>
  </conditionalFormatting>
  <conditionalFormatting sqref="AG25">
    <cfRule type="expression" dxfId="5" priority="11" stopIfTrue="1">
      <formula>IF(AND(COUNTIF($A$6,"&lt;&gt;*様*"),$AG$13&lt;100,$AE$25&lt;0.3),TRUE,FALSE)</formula>
    </cfRule>
  </conditionalFormatting>
  <conditionalFormatting sqref="AE22">
    <cfRule type="expression" dxfId="4" priority="10" stopIfTrue="1">
      <formula>IF($A$4="蒸し物",IF($AE$22&lt;30,TRUE,FALSE),FALSE)</formula>
    </cfRule>
  </conditionalFormatting>
  <conditionalFormatting sqref="Z24">
    <cfRule type="expression" dxfId="3" priority="7" stopIfTrue="1">
      <formula>COUNTIF($Z$24,"*1")</formula>
    </cfRule>
  </conditionalFormatting>
  <conditionalFormatting sqref="Z25">
    <cfRule type="expression" dxfId="2" priority="6" stopIfTrue="1">
      <formula>COUNTIF($Z$25,"*2")</formula>
    </cfRule>
  </conditionalFormatting>
  <conditionalFormatting sqref="AG12:AI12">
    <cfRule type="expression" dxfId="1" priority="2">
      <formula>$A$2="出力なし"</formula>
    </cfRule>
  </conditionalFormatting>
  <conditionalFormatting sqref="AG12:AI12">
    <cfRule type="expression" dxfId="0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mdCopy87">
          <controlPr defaultSize="0" autoLine="0" autoPict="0" r:id="rId5">
            <anchor moveWithCells="1" sizeWithCells="1">
              <from>
                <xdr:col>14</xdr:col>
                <xdr:colOff>114300</xdr:colOff>
                <xdr:row>86</xdr:row>
                <xdr:rowOff>0</xdr:rowOff>
              </from>
              <to>
                <xdr:col>20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3073" r:id="rId4" name="cmdCopy87"/>
      </mc:Fallback>
    </mc:AlternateContent>
    <mc:AlternateContent xmlns:mc="http://schemas.openxmlformats.org/markup-compatibility/2006">
      <mc:Choice Requires="x14">
        <control shapeId="3074" r:id="rId6" name="cmdClear87">
          <controlPr defaultSize="0" autoLine="0" r:id="rId7">
            <anchor moveWithCells="1" sizeWithCells="1">
              <from>
                <xdr:col>23</xdr:col>
                <xdr:colOff>0</xdr:colOff>
                <xdr:row>86</xdr:row>
                <xdr:rowOff>0</xdr:rowOff>
              </from>
              <to>
                <xdr:col>26</xdr:col>
                <xdr:colOff>9525</xdr:colOff>
                <xdr:row>87</xdr:row>
                <xdr:rowOff>76200</xdr:rowOff>
              </to>
            </anchor>
          </controlPr>
        </control>
      </mc:Choice>
      <mc:Fallback>
        <control shapeId="3074" r:id="rId6" name="cmdClear87"/>
      </mc:Fallback>
    </mc:AlternateContent>
    <mc:AlternateContent xmlns:mc="http://schemas.openxmlformats.org/markup-compatibility/2006">
      <mc:Choice Requires="x14">
        <control shapeId="3075" r:id="rId8" name="cmdCopy104">
          <controlPr defaultSize="0" autoLine="0" autoPict="0" r:id="rId9">
            <anchor moveWithCells="1" sizeWithCells="1">
              <from>
                <xdr:col>14</xdr:col>
                <xdr:colOff>114300</xdr:colOff>
                <xdr:row>103</xdr:row>
                <xdr:rowOff>0</xdr:rowOff>
              </from>
              <to>
                <xdr:col>20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3075" r:id="rId8" name="cmdCopy104"/>
      </mc:Fallback>
    </mc:AlternateContent>
    <mc:AlternateContent xmlns:mc="http://schemas.openxmlformats.org/markup-compatibility/2006">
      <mc:Choice Requires="x14">
        <control shapeId="3076" r:id="rId10" name="cmdClear104">
          <controlPr defaultSize="0" autoLine="0" autoPict="0" r:id="rId11">
            <anchor moveWithCells="1" sizeWithCells="1">
              <from>
                <xdr:col>22</xdr:col>
                <xdr:colOff>85725</xdr:colOff>
                <xdr:row>103</xdr:row>
                <xdr:rowOff>0</xdr:rowOff>
              </from>
              <to>
                <xdr:col>25</xdr:col>
                <xdr:colOff>581025</xdr:colOff>
                <xdr:row>104</xdr:row>
                <xdr:rowOff>47625</xdr:rowOff>
              </to>
            </anchor>
          </controlPr>
        </control>
      </mc:Choice>
      <mc:Fallback>
        <control shapeId="3076" r:id="rId10" name="cmdClear10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分析値(日本食品検査)</vt:lpstr>
      <vt:lpstr>分析値(安全性)</vt:lpstr>
      <vt:lpstr>計算値</vt:lpstr>
      <vt:lpstr>計算値!Print_Area</vt:lpstr>
      <vt:lpstr>'分析値(安全性)'!Print_Area</vt:lpstr>
      <vt:lpstr>'分析値(日本食品検査)'!Print_Area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三瓶　結衣子</dc:creator>
  <cp:lastModifiedBy>共有　システム開発　</cp:lastModifiedBy>
  <cp:lastPrinted>2024-06-07T04:07:41Z</cp:lastPrinted>
  <dcterms:created xsi:type="dcterms:W3CDTF">1999-12-02T04:43:04Z</dcterms:created>
  <dcterms:modified xsi:type="dcterms:W3CDTF">2026-05-14T09:10:27Z</dcterms:modified>
</cp:coreProperties>
</file>