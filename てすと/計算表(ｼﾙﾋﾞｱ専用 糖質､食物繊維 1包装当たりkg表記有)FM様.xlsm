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1520" windowHeight="921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J2" i="15" l="1"/>
  <c r="K2" i="15" l="1"/>
  <c r="AH13" i="15" l="1"/>
  <c r="AG13" i="15"/>
  <c r="B90" i="15" l="1"/>
  <c r="AE23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H55" i="15"/>
  <c r="G57" i="15"/>
  <c r="J57" i="15"/>
  <c r="K57" i="15"/>
  <c r="C63" i="15"/>
  <c r="D63" i="15"/>
  <c r="F63" i="15"/>
  <c r="H63" i="15"/>
  <c r="K63" i="15"/>
  <c r="G69" i="15"/>
  <c r="H69" i="15"/>
  <c r="J69" i="15"/>
  <c r="L69" i="15"/>
  <c r="D71" i="15"/>
  <c r="C75" i="15"/>
  <c r="G75" i="15"/>
  <c r="H75" i="15"/>
  <c r="L75" i="15"/>
  <c r="K77" i="15"/>
  <c r="F81" i="15"/>
  <c r="H81" i="15"/>
  <c r="K81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C98" i="15"/>
  <c r="G92" i="15"/>
  <c r="C92" i="15"/>
  <c r="I98" i="15"/>
  <c r="G79" i="15" l="1"/>
  <c r="L77" i="15"/>
  <c r="J77" i="15"/>
  <c r="F55" i="15"/>
  <c r="G55" i="15"/>
  <c r="F79" i="15"/>
  <c r="C71" i="15"/>
  <c r="C94" i="15"/>
  <c r="J59" i="15"/>
  <c r="J81" i="15"/>
  <c r="F75" i="15"/>
  <c r="D67" i="15"/>
  <c r="D59" i="15"/>
  <c r="H67" i="15"/>
  <c r="G59" i="15"/>
  <c r="K65" i="15"/>
  <c r="L57" i="15"/>
  <c r="F67" i="15"/>
  <c r="F59" i="15"/>
  <c r="F94" i="15"/>
  <c r="H71" i="15"/>
  <c r="J65" i="15"/>
  <c r="L94" i="15"/>
  <c r="J79" i="15"/>
  <c r="G71" i="15"/>
  <c r="H65" i="15"/>
  <c r="D79" i="15"/>
  <c r="C67" i="15"/>
  <c r="C55" i="15"/>
  <c r="L73" i="15"/>
  <c r="L61" i="15"/>
  <c r="K61" i="15"/>
  <c r="H96" i="15"/>
  <c r="H73" i="15"/>
  <c r="J61" i="15"/>
  <c r="G77" i="15"/>
  <c r="G73" i="15"/>
  <c r="F65" i="15"/>
  <c r="G61" i="15"/>
  <c r="D81" i="15"/>
  <c r="F77" i="15"/>
  <c r="F73" i="15"/>
  <c r="D69" i="15"/>
  <c r="D65" i="15"/>
  <c r="F61" i="15"/>
  <c r="F57" i="15"/>
  <c r="K98" i="15"/>
  <c r="C81" i="15"/>
  <c r="D77" i="15"/>
  <c r="C73" i="15"/>
  <c r="C69" i="15"/>
  <c r="C65" i="15"/>
  <c r="D61" i="15"/>
  <c r="D57" i="15"/>
  <c r="E96" i="15"/>
  <c r="K73" i="15"/>
  <c r="J97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AG23" i="15" s="1"/>
  <c r="AG26" i="15" l="1"/>
  <c r="Z26" i="15" s="1"/>
  <c r="J83" i="15"/>
  <c r="C83" i="15"/>
  <c r="C85" i="15" s="1"/>
  <c r="C86" i="15" s="1"/>
  <c r="C90" i="15" s="1"/>
  <c r="C100" i="15" s="1"/>
  <c r="C102" i="15" s="1"/>
  <c r="C103" i="15" s="1"/>
  <c r="K85" i="15"/>
  <c r="K86" i="15" s="1"/>
  <c r="K90" i="15" s="1"/>
  <c r="K100" i="15" s="1"/>
  <c r="F85" i="15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AG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F86" i="15"/>
  <c r="K102" i="15" l="1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E15" i="15"/>
  <c r="AG15" i="15" s="1"/>
  <c r="AE25" i="15"/>
  <c r="I126" i="15"/>
  <c r="B86" i="15"/>
  <c r="F87" i="15" s="1"/>
  <c r="I113" i="15"/>
  <c r="AG27" i="15" l="1"/>
  <c r="J113" i="15" s="1"/>
  <c r="AG25" i="15"/>
  <c r="H113" i="15" s="1"/>
  <c r="AG22" i="15"/>
  <c r="AG20" i="15" s="1"/>
  <c r="D113" i="15"/>
  <c r="I122" i="15"/>
  <c r="E113" i="15"/>
  <c r="I123" i="15"/>
  <c r="AK20" i="15"/>
  <c r="AE20" i="15"/>
  <c r="F90" i="15"/>
  <c r="F100" i="15" s="1"/>
  <c r="B87" i="15"/>
  <c r="Z25" i="15" l="1"/>
  <c r="G113" i="15"/>
  <c r="I127" i="15"/>
  <c r="F102" i="15"/>
  <c r="F103" i="15" s="1"/>
  <c r="B103" i="15" s="1"/>
  <c r="F104" i="15" s="1"/>
  <c r="C108" i="15" s="1"/>
  <c r="AE14" i="15" s="1"/>
  <c r="AE18" i="15" l="1"/>
  <c r="AG18" i="15" s="1"/>
  <c r="AG14" i="15" s="1"/>
  <c r="F106" i="15"/>
  <c r="AE17" i="15" s="1"/>
  <c r="B104" i="15"/>
  <c r="I125" i="15" l="1"/>
  <c r="K113" i="15"/>
  <c r="AG17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<sst xmlns="http://schemas.openxmlformats.org/spreadsheetml/2006/main" count="171" uniqueCount="103">
  <si>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</si>
  <si>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</si>
  <si>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</si>
  <si>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</si>
  <si>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</si>
  <si>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</si>
  <si>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</si>
  <si>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</si>
  <si>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</si>
  <si>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</si>
  <si>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</si>
  <si>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</si>
  <si>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</si>
  <si>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</si>
  <si>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</si>
  <si>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</si>
  <si>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</si>
  <si>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</si>
  <si>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</si>
  <si>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</si>
  <si>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</si>
  <si>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</si>
  <si>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</si>
  <si>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</si>
  <si>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</si>
  <si>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</si>
  <si>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</si>
  <si>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</si>
  <si>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</si>
  <si>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</si>
  <si>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</si>
  <si>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</si>
  <si>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</si>
  <si>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</si>
  <si>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</si>
  <si>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</si>
  <si>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</si>
  <si>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</si>
  <si>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</si>
  <si>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</si>
  <si>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</si>
  <si>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</si>
  <si>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</si>
  <si>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</si>
  <si>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</si>
  <si>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</si>
  <si>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</si>
  <si>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</si>
  <si>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</si>
  <si>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</si>
  <si>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</si>
  <si>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</si>
  <si>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</si>
  <si>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</si>
  <si>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</si>
  <si>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</si>
  <si>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</si>
  <si>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</si>
  <si>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</si>
  <si>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</si>
  <si>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</si>
  <si>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</si>
  <si>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</si>
  <si>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</si>
  <si>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</si>
  <si>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</si>
  <si>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</si>
  <si>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</si>
  <si>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</si>
  <si>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</si>
  <si>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</si>
  <si>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</si>
  <si>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</si>
  <si>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</si>
  <si>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</si>
  <si>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</si>
  <si>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</si>
  <si>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</si>
  <si>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</si>
  <si>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</si>
  <si>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40"/>
  </si>
  <si>
    <t>脂質</t>
    <rPh sb="0" eb="2">
      <t>シシツ</t>
    </rPh>
    <phoneticPr fontId="40"/>
  </si>
  <si>
    <t>炭水化物</t>
    <rPh sb="0" eb="4">
      <t>タンスイカブツ</t>
    </rPh>
    <phoneticPr fontId="40"/>
  </si>
  <si>
    <t>　－糖質</t>
    <rPh sb="2" eb="4">
      <t>トウシツ</t>
    </rPh>
    <phoneticPr fontId="40"/>
  </si>
  <si>
    <t>　－食物繊維</t>
    <rPh sb="2" eb="4">
      <t>ショクモツ</t>
    </rPh>
    <rPh sb="4" eb="6">
      <t>センイ</t>
    </rPh>
    <phoneticPr fontId="40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</si>
  <si>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</si>
  <si>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</si>
  <si>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</si>
  <si>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</si>
  <si>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</si>
  <si>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1包装当たり</t>
  </si>
  <si>
    <t>kg</t>
    <phoneticPr fontId="3"/>
  </si>
  <si>
    <t>ｼﾙﾋﾞｱ</t>
    <phoneticPr fontId="3"/>
  </si>
  <si>
    <t>生地の修正後の水分値が</t>
    <phoneticPr fontId="3"/>
  </si>
  <si>
    <t>焼成前の生地重量:</t>
    <rPh sb="2" eb="3">
      <t>マエ</t>
    </rPh>
    <phoneticPr fontId="5"/>
  </si>
  <si>
    <t>g/製品入数:</t>
    <rPh sb="2" eb="4">
      <t>セイヒン</t>
    </rPh>
    <rPh sb="4" eb="6">
      <t>イリスウ</t>
    </rPh>
    <phoneticPr fontId="3"/>
  </si>
  <si>
    <t>g/焼成後の生地重量:</t>
    <phoneticPr fontId="3"/>
  </si>
  <si>
    <t>%になるように焼減率(と焼成後の生地重量)を調整</t>
    <phoneticPr fontId="3"/>
  </si>
  <si>
    <t xml:space="preserve"> ↓製品入数(g)</t>
    <phoneticPr fontId="3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</si>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</sst>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6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9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1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37" fillId="0" borderId="4" xfId="0" applyNumberFormat="1" applyFont="1" applyBorder="1" applyProtection="1">
      <protection locked="0"/>
    </xf>
    <xf numFmtId="2" fontId="37" fillId="0" borderId="29" xfId="0" applyNumberFormat="1" applyFont="1" applyBorder="1" applyProtection="1">
      <protection locked="0"/>
    </xf>
    <xf numFmtId="2" fontId="36" fillId="0" borderId="4" xfId="0" applyNumberFormat="1" applyFont="1" applyBorder="1" applyAlignment="1" applyProtection="1">
      <alignment horizontal="left"/>
      <protection locked="0"/>
    </xf>
    <xf numFmtId="176" fontId="37" fillId="0" borderId="29" xfId="0" applyNumberFormat="1" applyFont="1" applyBorder="1" applyProtection="1">
      <protection locked="0"/>
    </xf>
    <xf numFmtId="0" fontId="37" fillId="0" borderId="4" xfId="0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8" fillId="0" borderId="0" xfId="4" applyNumberFormat="1" applyFont="1" applyAlignment="1">
      <alignment vertical="center"/>
    </xf>
    <xf numFmtId="49" fontId="38" fillId="0" borderId="0" xfId="4" applyNumberFormat="1" applyFont="1" applyBorder="1" applyAlignment="1">
      <alignment horizontal="left" vertical="center" shrinkToFit="1"/>
    </xf>
    <xf numFmtId="49" fontId="38" fillId="0" borderId="0" xfId="4" applyNumberFormat="1" applyFont="1" applyFill="1" applyBorder="1" applyAlignment="1" applyProtection="1">
      <alignment vertical="center"/>
      <protection locked="0"/>
    </xf>
    <xf numFmtId="49" fontId="38" fillId="0" borderId="31" xfId="4" applyNumberFormat="1" applyFont="1" applyFill="1" applyBorder="1" applyAlignment="1" applyProtection="1">
      <alignment vertical="center"/>
      <protection locked="0"/>
    </xf>
    <xf numFmtId="49" fontId="38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8" fillId="0" borderId="0" xfId="4" applyNumberFormat="1" applyFont="1" applyFill="1" applyBorder="1" applyAlignment="1" applyProtection="1">
      <alignment vertical="center" shrinkToFit="1"/>
      <protection locked="0"/>
    </xf>
    <xf numFmtId="49" fontId="38" fillId="0" borderId="40" xfId="4" applyNumberFormat="1" applyFont="1" applyFill="1" applyBorder="1" applyAlignment="1" applyProtection="1">
      <alignment vertical="center" shrinkToFit="1"/>
      <protection locked="0"/>
    </xf>
    <xf numFmtId="49" fontId="38" fillId="0" borderId="33" xfId="4" applyNumberFormat="1" applyFont="1" applyFill="1" applyBorder="1" applyAlignment="1" applyProtection="1">
      <alignment vertical="center" shrinkToFit="1"/>
      <protection locked="0"/>
    </xf>
    <xf numFmtId="49" fontId="38" fillId="0" borderId="41" xfId="4" applyNumberFormat="1" applyFont="1" applyFill="1" applyBorder="1" applyAlignment="1" applyProtection="1">
      <alignment vertical="center" shrinkToFit="1"/>
      <protection locked="0"/>
    </xf>
    <xf numFmtId="49" fontId="38" fillId="0" borderId="36" xfId="4" applyNumberFormat="1" applyFont="1" applyFill="1" applyBorder="1" applyAlignment="1" applyProtection="1">
      <alignment vertical="center" shrinkToFit="1"/>
      <protection locked="0"/>
    </xf>
    <xf numFmtId="49" fontId="38" fillId="0" borderId="8" xfId="4" applyNumberFormat="1" applyFont="1" applyFill="1" applyBorder="1" applyAlignment="1" applyProtection="1">
      <alignment vertical="center" shrinkToFit="1"/>
      <protection locked="0"/>
    </xf>
    <xf numFmtId="49" fontId="38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41" fillId="0" borderId="0" xfId="0" applyFont="1"/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3" applyNumberFormat="1" applyFont="1" applyProtection="1">
      <protection locked="0"/>
    </xf>
    <xf numFmtId="2" fontId="44" fillId="0" borderId="0" xfId="3" applyNumberFormat="1" applyFont="1" applyProtection="1">
      <protection locked="0"/>
    </xf>
    <xf numFmtId="2" fontId="6" fillId="9" borderId="0" xfId="3" applyNumberFormat="1" applyFont="1" applyFill="1" applyProtection="1">
      <protection locked="0"/>
    </xf>
    <xf numFmtId="0" fontId="6" fillId="9" borderId="26" xfId="1" applyNumberFormat="1" applyFont="1" applyFill="1" applyBorder="1" applyAlignment="1" applyProtection="1">
      <alignment horizontal="center"/>
      <protection locked="0"/>
    </xf>
    <xf numFmtId="2" fontId="6" fillId="4" borderId="2" xfId="3" applyNumberFormat="1" applyFont="1" applyFill="1" applyBorder="1" applyProtection="1">
      <protection locked="0"/>
    </xf>
    <xf numFmtId="49" fontId="33" fillId="0" borderId="0" xfId="3" applyNumberFormat="1" applyFont="1" applyAlignment="1">
      <alignment horizontal="center"/>
    </xf>
    <xf numFmtId="2" fontId="5" fillId="9" borderId="2" xfId="3" applyNumberFormat="1" applyFont="1" applyFill="1" applyBorder="1" applyProtection="1"/>
    <xf numFmtId="2" fontId="6" fillId="0" borderId="0" xfId="3" applyNumberFormat="1" applyFont="1" applyFill="1" applyProtection="1">
      <protection locked="0"/>
    </xf>
    <xf numFmtId="176" fontId="6" fillId="0" borderId="44" xfId="3" applyNumberFormat="1" applyFont="1" applyBorder="1" applyProtection="1">
      <protection locked="0"/>
    </xf>
    <xf numFmtId="2" fontId="6" fillId="4" borderId="44" xfId="3" applyNumberFormat="1" applyFont="1" applyFill="1" applyBorder="1" applyProtection="1">
      <protection locked="0"/>
    </xf>
    <xf numFmtId="2" fontId="6" fillId="0" borderId="44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4" xfId="7" applyNumberFormat="1" applyFont="1" applyFill="1" applyBorder="1" applyAlignment="1" applyProtection="1">
      <protection locked="0"/>
    </xf>
    <xf numFmtId="180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8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8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8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16" xfId="4" applyNumberFormat="1" applyFont="1" applyBorder="1" applyAlignment="1">
      <alignment horizontal="center" vertical="center"/>
    </xf>
    <xf numFmtId="0" fontId="38" fillId="0" borderId="30" xfId="5" applyFont="1" applyBorder="1" applyAlignment="1">
      <alignment horizontal="left" vertical="center" shrinkToFit="1"/>
    </xf>
    <xf numFmtId="0" fontId="38" fillId="8" borderId="30" xfId="5" applyFont="1" applyFill="1" applyBorder="1" applyAlignment="1">
      <alignment horizontal="left" vertical="center" shrinkToFit="1"/>
    </xf>
    <xf numFmtId="188" fontId="38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8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8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34" xfId="4" applyNumberFormat="1" applyFont="1" applyFill="1" applyBorder="1" applyAlignment="1" applyProtection="1">
      <alignment horizontal="left" vertical="center" shrinkToFit="1"/>
      <protection locked="0"/>
    </xf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8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29" xfId="4" applyNumberFormat="1" applyFont="1" applyFill="1" applyBorder="1" applyAlignment="1" applyProtection="1">
      <alignment horizontal="left" vertical="center" shrinkToFit="1"/>
      <protection locked="0"/>
    </xf>
    <xf numFmtId="2" fontId="6" fillId="0" borderId="8" xfId="3" applyNumberFormat="1" applyFont="1" applyBorder="1" applyProtection="1">
      <protection locked="0"/>
    </xf>
    <xf numFmtId="176" fontId="6" fillId="10" borderId="2" xfId="3" applyNumberFormat="1" applyFont="1" applyFill="1" applyBorder="1" applyProtection="1">
      <protection locked="0"/>
    </xf>
    <xf numFmtId="176" fontId="6" fillId="10" borderId="12" xfId="3" applyNumberFormat="1" applyFont="1" applyFill="1" applyBorder="1" applyProtection="1">
      <protection locked="0"/>
    </xf>
    <xf numFmtId="177" fontId="6" fillId="10" borderId="2" xfId="3" applyNumberFormat="1" applyFont="1" applyFill="1" applyBorder="1" applyProtection="1">
      <protection locked="0"/>
    </xf>
    <xf numFmtId="176" fontId="6" fillId="10" borderId="4" xfId="3" applyNumberFormat="1" applyFont="1" applyFill="1" applyBorder="1" applyProtection="1">
      <protection locked="0"/>
    </xf>
    <xf numFmtId="1" fontId="6" fillId="10" borderId="12" xfId="3" applyNumberFormat="1" applyFont="1" applyFill="1" applyBorder="1" applyProtection="1">
      <protection locked="0"/>
    </xf>
    <xf numFmtId="2" fontId="6" fillId="10" borderId="12" xfId="3" applyNumberFormat="1" applyFont="1" applyFill="1" applyBorder="1" applyProtection="1">
      <protection locked="0"/>
    </xf>
    <xf numFmtId="1" fontId="6" fillId="10" borderId="43" xfId="3" applyNumberFormat="1" applyFont="1" applyFill="1" applyBorder="1" applyProtection="1"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38100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38100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28575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28575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104775</xdr:colOff>
          <xdr:row>3</xdr:row>
          <xdr:rowOff>0</xdr:rowOff>
        </xdr:from>
        <xdr:to>
          <xdr:col>43</xdr:col>
          <xdr:colOff>333375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70" transitionEvaluation="1" codeName="Sheet29"/>
  <dimension ref="A1:AK127"/>
  <sheetViews>
    <sheetView showGridLines="0" tabSelected="1" topLeftCell="A70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6" width="12" style="4" customWidth="1"/>
    <col min="7" max="8" width="9.625" style="4" customWidth="1"/>
    <col min="9" max="9" width="12.37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27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2" t="s">
        <v>93</v>
      </c>
      <c r="D1" s="164"/>
      <c r="E1" s="2"/>
      <c r="F1" s="167"/>
      <c r="G1" s="2" t="s">
        <v>97</v>
      </c>
      <c r="H1" s="2"/>
      <c r="I1" s="2"/>
      <c r="J1" s="2"/>
      <c r="K1" s="2"/>
      <c r="L1" s="3"/>
      <c r="AA1" s="2" t="s">
        <v>66</v>
      </c>
    </row>
    <row r="2" spans="1:37" x14ac:dyDescent="0.2">
      <c r="A2" s="115" t="s">
        <v>70</v>
      </c>
      <c r="B2" s="2"/>
      <c r="C2" s="165" t="s">
        <v>94</v>
      </c>
      <c r="D2" s="164"/>
      <c r="E2" s="167"/>
      <c r="F2" s="165" t="s">
        <v>96</v>
      </c>
      <c r="G2" s="2"/>
      <c r="H2" s="167"/>
      <c r="I2" s="166" t="s">
        <v>95</v>
      </c>
      <c r="J2" s="172">
        <f>F6</f>
        <v>0</v>
      </c>
      <c r="K2" s="2" t="str">
        <f>G6</f>
        <v>kg</v>
      </c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41" t="s">
        <v>71</v>
      </c>
      <c r="B4" s="2"/>
      <c r="D4" s="2"/>
      <c r="E4" s="2"/>
      <c r="F4" s="156" t="s">
        <v>85</v>
      </c>
      <c r="G4" s="209"/>
      <c r="H4" s="210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86" t="s">
        <v>1</v>
      </c>
      <c r="B5" s="187"/>
      <c r="C5" s="187"/>
      <c r="D5" s="187"/>
      <c r="E5" s="188"/>
      <c r="F5" s="118" t="s">
        <v>62</v>
      </c>
      <c r="G5" s="118" t="s">
        <v>63</v>
      </c>
      <c r="H5" s="118" t="s">
        <v>64</v>
      </c>
      <c r="I5" s="142" t="s">
        <v>99</v>
      </c>
      <c r="J5" s="2"/>
      <c r="K5" s="2" t="s">
        <v>67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年月日</v>
      </c>
      <c r="AJ5" s="5"/>
    </row>
    <row r="6" spans="1:37" ht="21" x14ac:dyDescent="0.2">
      <c r="A6" s="189"/>
      <c r="B6" s="190"/>
      <c r="C6" s="190"/>
      <c r="D6" s="190"/>
      <c r="E6" s="191"/>
      <c r="F6" s="119"/>
      <c r="G6" s="168" t="s">
        <v>91</v>
      </c>
      <c r="H6" s="120" t="s">
        <v>92</v>
      </c>
      <c r="I6" s="6"/>
      <c r="J6" s="7"/>
      <c r="K6" s="7" t="s">
        <v>73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1" t="s">
        <v>2</v>
      </c>
      <c r="B7" s="121" t="s">
        <v>3</v>
      </c>
      <c r="C7" s="121" t="s">
        <v>4</v>
      </c>
      <c r="D7" s="121" t="s">
        <v>5</v>
      </c>
      <c r="E7" s="121" t="s">
        <v>6</v>
      </c>
      <c r="F7" s="121" t="s">
        <v>7</v>
      </c>
      <c r="G7" s="121" t="s">
        <v>8</v>
      </c>
      <c r="H7" s="121" t="s">
        <v>9</v>
      </c>
      <c r="I7" s="122" t="s">
        <v>10</v>
      </c>
      <c r="J7" s="123" t="s">
        <v>68</v>
      </c>
      <c r="K7" s="124" t="s">
        <v>69</v>
      </c>
      <c r="L7" s="125" t="s">
        <v>46</v>
      </c>
      <c r="AA7" s="12" t="s">
        <v>14</v>
      </c>
      <c r="AB7" s="192" t="e">
        <f>IF(COUNTIF($F$6,"1"),CONCATENATE($A$6,"(",$H$6,")"),CONCATENATE($A$6,$F$6,$G$6,"入","(",$H$6,")"))</f>
        <v>#VALUE!</v>
      </c>
      <c r="AC7" s="192"/>
      <c r="AD7" s="192"/>
      <c r="AE7" s="192"/>
      <c r="AF7" s="192"/>
      <c r="AG7" s="192"/>
      <c r="AH7" s="192"/>
      <c r="AI7" s="192"/>
      <c r="AJ7" s="5"/>
    </row>
    <row r="8" spans="1:37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</row>
    <row r="9" spans="1:37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203" t="s">
        <v>57</v>
      </c>
      <c r="AG12" s="206" t="s">
        <v>90</v>
      </c>
      <c r="AH12" s="206"/>
      <c r="AI12" s="206"/>
      <c r="AJ12" s="14"/>
      <c r="AK12" s="185" t="s">
        <v>42</v>
      </c>
    </row>
    <row r="13" spans="1:37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204"/>
      <c r="AF13" s="13"/>
      <c r="AG13" s="170">
        <f>F6</f>
        <v>0</v>
      </c>
      <c r="AH13" s="126" t="str">
        <f>G6</f>
        <v>kg</v>
      </c>
      <c r="AI13" s="117"/>
      <c r="AJ13" s="16"/>
      <c r="AK13" s="185"/>
    </row>
    <row r="14" spans="1:37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7"/>
      <c r="AA14" s="18" t="s">
        <v>89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47</v>
      </c>
      <c r="AI14" s="23"/>
      <c r="AJ14" s="19"/>
      <c r="AK14" s="98">
        <v>0</v>
      </c>
    </row>
    <row r="15" spans="1:37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 t="e">
        <f>$D$104</f>
        <v>#DIV/0!</v>
      </c>
      <c r="AF15" s="22"/>
      <c r="AG15" s="23" t="e">
        <f>ROUND(($B$102*AE15)/100,1)</f>
        <v>#DIV/0!</v>
      </c>
      <c r="AH15" s="20" t="s">
        <v>58</v>
      </c>
      <c r="AI15" s="23"/>
      <c r="AJ15" s="25"/>
      <c r="AK15" s="98">
        <v>1</v>
      </c>
    </row>
    <row r="16" spans="1:37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 t="e">
        <f>$E$104</f>
        <v>#DIV/0!</v>
      </c>
      <c r="AF16" s="22"/>
      <c r="AG16" s="23" t="e">
        <f>ROUND(($B$102*AE16)/100,1)</f>
        <v>#DIV/0!</v>
      </c>
      <c r="AH16" s="20" t="s">
        <v>58</v>
      </c>
      <c r="AI16" s="23"/>
      <c r="AJ16" s="25"/>
      <c r="AK16" s="98">
        <v>1</v>
      </c>
    </row>
    <row r="17" spans="1:37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58</v>
      </c>
      <c r="AI17" s="23"/>
      <c r="AJ17" s="25"/>
      <c r="AK17" s="98">
        <v>1</v>
      </c>
    </row>
    <row r="18" spans="1:37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59" t="s">
        <v>87</v>
      </c>
      <c r="AB18" s="25"/>
      <c r="AC18" s="20"/>
      <c r="AD18" s="20"/>
      <c r="AE18" s="23" t="e">
        <f>$F$104</f>
        <v>#DIV/0!</v>
      </c>
      <c r="AF18" s="22"/>
      <c r="AG18" s="23" t="e">
        <f>ROUND(($B$102*AE18)/100,1)</f>
        <v>#DIV/0!</v>
      </c>
      <c r="AH18" s="20" t="s">
        <v>58</v>
      </c>
      <c r="AI18" s="28"/>
      <c r="AJ18" s="25"/>
      <c r="AK18" s="98">
        <v>1</v>
      </c>
    </row>
    <row r="19" spans="1:37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60" t="s">
        <v>88</v>
      </c>
      <c r="AB19" s="25"/>
      <c r="AC19" s="82"/>
      <c r="AD19" s="20"/>
      <c r="AE19" s="23" t="e">
        <f>$G$104</f>
        <v>#DIV/0!</v>
      </c>
      <c r="AF19" s="22"/>
      <c r="AG19" s="23" t="e">
        <f>ROUND(($B$102*AE19)/100,1)</f>
        <v>#DIV/0!</v>
      </c>
      <c r="AH19" s="82" t="s">
        <v>58</v>
      </c>
      <c r="AI19" s="28"/>
      <c r="AJ19" s="25"/>
      <c r="AK19" s="98">
        <v>1</v>
      </c>
    </row>
    <row r="20" spans="1:37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2" t="e">
        <f>IF($AE$22&lt;4.5,0,ROUND($AE$22/1000*2.54,2))</f>
        <v>#DIV/0!</v>
      </c>
      <c r="AF20" s="133"/>
      <c r="AG20" s="132" t="e">
        <f>IF($AE$22&lt;4.5,0,ROUND($AG$22/1000*2.54,2))</f>
        <v>#DIV/0!</v>
      </c>
      <c r="AH20" s="20" t="s">
        <v>58</v>
      </c>
      <c r="AI20" s="21"/>
      <c r="AJ20" s="25"/>
      <c r="AK20" s="98">
        <f>IF(COUNTIF($AE$22,"&lt;4.5"),0,2)</f>
        <v>2</v>
      </c>
    </row>
    <row r="21" spans="1:37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</row>
    <row r="22" spans="1:37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 t="e">
        <f>$I$104</f>
        <v>#DIV/0!</v>
      </c>
      <c r="AF22" s="22"/>
      <c r="AG22" s="21" t="e">
        <f>ROUND(($B$102*AE22)/100,0)</f>
        <v>#DIV/0!</v>
      </c>
      <c r="AH22" s="20" t="s">
        <v>59</v>
      </c>
      <c r="AI22" s="32"/>
      <c r="AJ22" s="30"/>
    </row>
    <row r="23" spans="1:37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 t="e">
        <f>$C$104</f>
        <v>#DIV/0!</v>
      </c>
      <c r="AF23" s="33"/>
      <c r="AG23" s="34" t="e">
        <f>ROUND(($B$102*AE23)/100,1)</f>
        <v>#DIV/0!</v>
      </c>
      <c r="AH23" s="31" t="s">
        <v>58</v>
      </c>
      <c r="AI23" s="28"/>
      <c r="AJ23" s="25"/>
    </row>
    <row r="24" spans="1:37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 t="e">
        <f>$H$104</f>
        <v>#DIV/0!</v>
      </c>
      <c r="AF24" s="33"/>
      <c r="AG24" s="34" t="e">
        <f>ROUND(($B$102*AE24)/100,1)</f>
        <v>#DIV/0!</v>
      </c>
      <c r="AH24" s="31" t="s">
        <v>58</v>
      </c>
      <c r="AI24" s="28"/>
      <c r="AJ24" s="25"/>
    </row>
    <row r="25" spans="1:37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7" t="e">
        <f>IF(AG25&lt;15,"","＊1")</f>
        <v>#DIV/0!</v>
      </c>
      <c r="AA25" s="24" t="s">
        <v>12</v>
      </c>
      <c r="AB25" s="20"/>
      <c r="AC25" s="20"/>
      <c r="AD25" s="20"/>
      <c r="AE25" s="132" t="e">
        <f>$K$104</f>
        <v>#DIV/0!</v>
      </c>
      <c r="AF25" s="133"/>
      <c r="AG25" s="132" t="e">
        <f>ROUND(($B$102*AE25)/100,2)</f>
        <v>#DIV/0!</v>
      </c>
      <c r="AH25" s="20" t="s">
        <v>58</v>
      </c>
      <c r="AI25" s="28"/>
      <c r="AJ25" s="25"/>
      <c r="AK25" s="98">
        <v>2</v>
      </c>
    </row>
    <row r="26" spans="1:37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7" t="e">
        <f>IF(AND((COUNTIF($A$6,"*ｾﾌﾞﾝﾌﾟﾚﾐｱﾑ*")+COUNTIF($A$6,"*7P*")),$AE$26&gt;=0.3),"＊3","")</f>
        <v>#DIV/0!</v>
      </c>
      <c r="Z26" s="127" t="e">
        <f>IF(OR(AND(AE26&gt;=0.3,AG26*VALUE(F6)&gt;=0.45),AE26&gt;=0.45,AND(AG13&gt;=100,AG26*VALUE(F6)&gt;=0.45)),"＊2","")</f>
        <v>#DIV/0!</v>
      </c>
      <c r="AA26" s="24" t="s">
        <v>27</v>
      </c>
      <c r="AB26" s="20"/>
      <c r="AC26" s="20"/>
      <c r="AD26" s="20"/>
      <c r="AE26" s="132" t="e">
        <f>$J$104</f>
        <v>#DIV/0!</v>
      </c>
      <c r="AF26" s="133"/>
      <c r="AG26" s="132" t="e">
        <f>ROUND(($B$102*AE26)/100,2)</f>
        <v>#DIV/0!</v>
      </c>
      <c r="AH26" s="20" t="s">
        <v>58</v>
      </c>
      <c r="AI26" s="28"/>
      <c r="AJ26" s="25"/>
      <c r="AK26" s="98" t="e">
        <f>IF($AE$26=0,0,2)</f>
        <v>#DIV/0!</v>
      </c>
    </row>
    <row r="27" spans="1:37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 t="e">
        <f>$L$104</f>
        <v>#DIV/0!</v>
      </c>
      <c r="AF27" s="37"/>
      <c r="AG27" s="21" t="e">
        <f>ROUND(($B$102*AE27)/100,0)</f>
        <v>#DIV/0!</v>
      </c>
      <c r="AH27" s="20" t="s">
        <v>59</v>
      </c>
      <c r="AI27" s="28"/>
      <c r="AJ27" s="25"/>
      <c r="AK27" s="98">
        <v>0</v>
      </c>
    </row>
    <row r="28" spans="1:37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37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37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37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205" t="s">
        <v>50</v>
      </c>
      <c r="AB31" s="205"/>
      <c r="AC31" s="205"/>
      <c r="AD31" s="205"/>
      <c r="AE31" s="205"/>
      <c r="AF31" s="205"/>
      <c r="AG31" s="205"/>
      <c r="AH31" s="205"/>
      <c r="AI31" s="205"/>
      <c r="AJ31" s="205"/>
    </row>
    <row r="32" spans="1:37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B32" s="5"/>
      <c r="AC32" s="5"/>
      <c r="AD32" s="5"/>
      <c r="AE32" s="5"/>
      <c r="AF32" s="5"/>
      <c r="AG32" s="5"/>
      <c r="AH32" s="5"/>
      <c r="AI32" s="5"/>
      <c r="AJ32" s="5"/>
      <c r="AK32" s="53"/>
    </row>
    <row r="33" spans="1:37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B33" s="5"/>
      <c r="AC33" s="5"/>
      <c r="AD33" s="5"/>
      <c r="AE33" s="5"/>
      <c r="AF33" s="5"/>
      <c r="AG33" s="5"/>
      <c r="AH33" s="5"/>
      <c r="AI33" s="5"/>
      <c r="AJ33" s="5"/>
      <c r="AK33" s="54"/>
    </row>
    <row r="34" spans="1:37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B34" s="5"/>
      <c r="AH34" s="5"/>
      <c r="AI34" s="44"/>
      <c r="AJ34" s="44"/>
    </row>
    <row r="35" spans="1:37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</row>
    <row r="36" spans="1:37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</row>
    <row r="37" spans="1:37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1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62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I38" s="53"/>
      <c r="AJ38" s="53"/>
    </row>
    <row r="39" spans="1:37" x14ac:dyDescent="0.2">
      <c r="A39" s="121" t="s">
        <v>23</v>
      </c>
      <c r="B39" s="121" t="s">
        <v>18</v>
      </c>
      <c r="C39" s="121" t="s">
        <v>4</v>
      </c>
      <c r="D39" s="121" t="s">
        <v>5</v>
      </c>
      <c r="E39" s="121" t="s">
        <v>6</v>
      </c>
      <c r="F39" s="121" t="s">
        <v>7</v>
      </c>
      <c r="G39" s="121" t="s">
        <v>8</v>
      </c>
      <c r="H39" s="121" t="s">
        <v>9</v>
      </c>
      <c r="I39" s="122" t="s">
        <v>24</v>
      </c>
      <c r="J39" s="123" t="s">
        <v>68</v>
      </c>
      <c r="K39" s="124" t="s">
        <v>69</v>
      </c>
      <c r="L39" s="125" t="s">
        <v>46</v>
      </c>
      <c r="O39" s="43"/>
      <c r="AA39" s="39"/>
      <c r="AB39" s="39"/>
      <c r="AC39" s="46"/>
      <c r="AD39" s="41"/>
      <c r="AI39" s="53"/>
      <c r="AJ39" s="53"/>
    </row>
    <row r="40" spans="1:37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37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</row>
    <row r="42" spans="1:37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8"/>
      <c r="AA42" s="97"/>
      <c r="AB42" s="96"/>
      <c r="AC42" s="96"/>
      <c r="AD42" s="96"/>
      <c r="AE42" s="96"/>
    </row>
    <row r="43" spans="1:37" x14ac:dyDescent="0.2">
      <c r="A43" s="138"/>
      <c r="B43" s="139"/>
      <c r="C43" s="137"/>
      <c r="D43" s="137"/>
      <c r="E43" s="137"/>
      <c r="F43" s="137"/>
      <c r="G43" s="137"/>
      <c r="H43" s="137"/>
      <c r="I43" s="137"/>
      <c r="J43" s="140"/>
      <c r="K43" s="136"/>
      <c r="L43" s="137"/>
      <c r="M43" s="4">
        <f t="shared" si="2"/>
        <v>0</v>
      </c>
      <c r="Y43" s="96"/>
      <c r="Z43" s="128"/>
      <c r="AA43" s="96"/>
      <c r="AB43" s="96"/>
      <c r="AC43" s="96"/>
      <c r="AD43" s="96"/>
      <c r="AE43" s="96"/>
    </row>
    <row r="44" spans="1:37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8"/>
      <c r="AA44" s="96"/>
      <c r="AB44" s="96"/>
      <c r="AC44" s="96"/>
      <c r="AD44" s="96"/>
      <c r="AE44" s="96"/>
    </row>
    <row r="45" spans="1:37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8"/>
      <c r="AA45" s="39"/>
      <c r="AB45" s="39"/>
      <c r="AC45" s="40"/>
      <c r="AD45" s="41"/>
      <c r="AE45" s="96"/>
    </row>
    <row r="46" spans="1:37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8"/>
      <c r="AA46" s="39"/>
      <c r="AB46" s="39"/>
      <c r="AC46" s="43"/>
      <c r="AD46" s="41"/>
      <c r="AE46" s="96"/>
    </row>
    <row r="47" spans="1:37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8"/>
      <c r="AA47" s="39"/>
      <c r="AB47" s="39"/>
      <c r="AC47" s="43"/>
      <c r="AD47" s="41"/>
      <c r="AE47" s="96"/>
    </row>
    <row r="48" spans="1:37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8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8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3"/>
      <c r="K50" s="7"/>
      <c r="L50" s="45"/>
      <c r="Y50" s="96"/>
      <c r="Z50" s="128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8"/>
      <c r="AA51" s="39"/>
      <c r="AB51" s="39"/>
      <c r="AC51" s="46"/>
      <c r="AD51" s="41"/>
      <c r="AE51" s="96"/>
    </row>
    <row r="52" spans="1:31" x14ac:dyDescent="0.2">
      <c r="A52" s="121" t="s">
        <v>2</v>
      </c>
      <c r="B52" s="121" t="s">
        <v>32</v>
      </c>
      <c r="C52" s="121" t="s">
        <v>4</v>
      </c>
      <c r="D52" s="121" t="s">
        <v>5</v>
      </c>
      <c r="E52" s="121" t="s">
        <v>6</v>
      </c>
      <c r="F52" s="121" t="s">
        <v>7</v>
      </c>
      <c r="G52" s="121" t="s">
        <v>8</v>
      </c>
      <c r="H52" s="121" t="s">
        <v>9</v>
      </c>
      <c r="I52" s="122" t="s">
        <v>24</v>
      </c>
      <c r="J52" s="123" t="s">
        <v>11</v>
      </c>
      <c r="K52" s="124" t="s">
        <v>12</v>
      </c>
      <c r="L52" s="125" t="s">
        <v>13</v>
      </c>
      <c r="Y52" s="96"/>
      <c r="Z52" s="128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29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Y53" s="96"/>
      <c r="Z53" s="128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29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Y54" s="96"/>
      <c r="Z54" s="128"/>
      <c r="AA54" s="96"/>
      <c r="AB54" s="96"/>
      <c r="AC54" s="96"/>
      <c r="AD54" s="96"/>
      <c r="AE54" s="96"/>
    </row>
    <row r="55" spans="1:31" x14ac:dyDescent="0.2">
      <c r="A55" s="99" t="str">
        <f t="shared" ref="A55:B55" si="14">IF(A10="","",A10)</f>
        <v/>
      </c>
      <c r="B55" s="129" t="str">
        <f t="shared" si="14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</row>
    <row r="56" spans="1:31" x14ac:dyDescent="0.2">
      <c r="A56" s="99" t="str">
        <f t="shared" ref="A56:B56" si="15">IF(A11="","",A11)</f>
        <v/>
      </c>
      <c r="B56" s="129" t="str">
        <f t="shared" si="15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</row>
    <row r="57" spans="1:31" x14ac:dyDescent="0.2">
      <c r="A57" s="99" t="str">
        <f t="shared" ref="A57:B57" si="16">IF(A12="","",A12)</f>
        <v/>
      </c>
      <c r="B57" s="129" t="str">
        <f t="shared" si="16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</row>
    <row r="58" spans="1:31" x14ac:dyDescent="0.2">
      <c r="A58" s="99" t="str">
        <f t="shared" ref="A58:B58" si="17">IF(A13="","",A13)</f>
        <v/>
      </c>
      <c r="B58" s="129" t="str">
        <f t="shared" si="17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AA58" s="83"/>
    </row>
    <row r="59" spans="1:31" x14ac:dyDescent="0.2">
      <c r="A59" s="99" t="str">
        <f t="shared" ref="A59:B59" si="18">IF(A14="","",A14)</f>
        <v/>
      </c>
      <c r="B59" s="129" t="str">
        <f t="shared" si="18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AA59" s="38"/>
    </row>
    <row r="60" spans="1:31" x14ac:dyDescent="0.2">
      <c r="A60" s="99" t="str">
        <f t="shared" ref="A60:B60" si="19">IF(A15="","",A15)</f>
        <v/>
      </c>
      <c r="B60" s="129" t="str">
        <f t="shared" si="19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AA60" s="87" t="s">
        <v>40</v>
      </c>
    </row>
    <row r="61" spans="1:31" x14ac:dyDescent="0.2">
      <c r="A61" s="99" t="str">
        <f t="shared" ref="A61:B61" si="20">IF(A16="","",A16)</f>
        <v/>
      </c>
      <c r="B61" s="129" t="str">
        <f t="shared" si="20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AA61" s="116" t="s">
        <v>51</v>
      </c>
    </row>
    <row r="62" spans="1:31" x14ac:dyDescent="0.2">
      <c r="A62" s="99" t="str">
        <f t="shared" ref="A62:B62" si="21">IF(A17="","",A17)</f>
        <v/>
      </c>
      <c r="B62" s="129" t="str">
        <f t="shared" si="21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AA62" s="88" t="s">
        <v>52</v>
      </c>
    </row>
    <row r="63" spans="1:31" x14ac:dyDescent="0.2">
      <c r="A63" s="99" t="str">
        <f t="shared" ref="A63:B63" si="22">IF(A18="","",A18)</f>
        <v/>
      </c>
      <c r="B63" s="129" t="str">
        <f t="shared" si="22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</row>
    <row r="64" spans="1:31" x14ac:dyDescent="0.2">
      <c r="A64" s="99" t="str">
        <f t="shared" ref="A64:B64" si="23">IF(A19="","",A19)</f>
        <v/>
      </c>
      <c r="B64" s="129" t="str">
        <f t="shared" si="23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</row>
    <row r="65" spans="1:27" x14ac:dyDescent="0.2">
      <c r="A65" s="99" t="str">
        <f t="shared" ref="A65:B65" si="24">IF(A20="","",A20)</f>
        <v/>
      </c>
      <c r="B65" s="129" t="str">
        <f t="shared" si="24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</row>
    <row r="66" spans="1:27" x14ac:dyDescent="0.2">
      <c r="A66" s="99" t="str">
        <f t="shared" ref="A66:B66" si="25">IF(A21="","",A21)</f>
        <v/>
      </c>
      <c r="B66" s="129" t="str">
        <f t="shared" si="25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</row>
    <row r="67" spans="1:27" x14ac:dyDescent="0.2">
      <c r="A67" s="99" t="str">
        <f t="shared" ref="A67:B67" si="26">IF(A22="","",A22)</f>
        <v/>
      </c>
      <c r="B67" s="129" t="str">
        <f t="shared" si="26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</row>
    <row r="68" spans="1:27" x14ac:dyDescent="0.2">
      <c r="A68" s="99" t="str">
        <f t="shared" ref="A68:B68" si="27">IF(A23="","",A23)</f>
        <v/>
      </c>
      <c r="B68" s="129" t="str">
        <f t="shared" si="27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</row>
    <row r="69" spans="1:27" ht="18.75" x14ac:dyDescent="0.3">
      <c r="A69" s="99" t="str">
        <f t="shared" ref="A69:B69" si="28">IF(A24="","",A24)</f>
        <v/>
      </c>
      <c r="B69" s="129" t="str">
        <f t="shared" si="28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AA69" s="89" t="s">
        <v>41</v>
      </c>
    </row>
    <row r="70" spans="1:27" x14ac:dyDescent="0.2">
      <c r="A70" s="99" t="str">
        <f t="shared" ref="A70:B70" si="29">IF(A25="","",A25)</f>
        <v/>
      </c>
      <c r="B70" s="129" t="str">
        <f t="shared" si="29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AA70" s="90" t="s">
        <v>60</v>
      </c>
    </row>
    <row r="71" spans="1:27" x14ac:dyDescent="0.2">
      <c r="A71" s="99" t="str">
        <f t="shared" ref="A71:B71" si="30">IF(A26="","",A26)</f>
        <v/>
      </c>
      <c r="B71" s="129" t="str">
        <f t="shared" si="30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AA71" s="90" t="s">
        <v>53</v>
      </c>
    </row>
    <row r="72" spans="1:27" x14ac:dyDescent="0.2">
      <c r="A72" s="99" t="str">
        <f t="shared" ref="A72:B72" si="31">IF(A27="","",A27)</f>
        <v/>
      </c>
      <c r="B72" s="129" t="str">
        <f t="shared" si="31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AA72" s="90" t="s">
        <v>54</v>
      </c>
    </row>
    <row r="73" spans="1:27" x14ac:dyDescent="0.2">
      <c r="A73" s="99" t="str">
        <f t="shared" ref="A73:B73" si="32">IF(A28="","",A28)</f>
        <v/>
      </c>
      <c r="B73" s="129" t="str">
        <f t="shared" si="32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AA73" s="90" t="s">
        <v>55</v>
      </c>
    </row>
    <row r="74" spans="1:27" x14ac:dyDescent="0.2">
      <c r="A74" s="99" t="str">
        <f t="shared" ref="A74:B74" si="33">IF(A29="","",A29)</f>
        <v/>
      </c>
      <c r="B74" s="129" t="str">
        <f t="shared" si="33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AA74" s="90" t="s">
        <v>56</v>
      </c>
    </row>
    <row r="75" spans="1:27" x14ac:dyDescent="0.2">
      <c r="A75" s="99" t="str">
        <f t="shared" ref="A75:B75" si="34">IF(A30="","",A30)</f>
        <v/>
      </c>
      <c r="B75" s="129" t="str">
        <f t="shared" si="34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AA75" s="4" t="s">
        <v>72</v>
      </c>
    </row>
    <row r="76" spans="1:27" x14ac:dyDescent="0.2">
      <c r="A76" s="99" t="str">
        <f t="shared" ref="A76:B76" si="35">IF(A31="","",A31)</f>
        <v/>
      </c>
      <c r="B76" s="129" t="str">
        <f t="shared" si="35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</row>
    <row r="77" spans="1:27" x14ac:dyDescent="0.2">
      <c r="A77" s="99" t="str">
        <f t="shared" ref="A77:B77" si="36">IF(A32="","",A32)</f>
        <v/>
      </c>
      <c r="B77" s="129" t="str">
        <f t="shared" si="36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</row>
    <row r="78" spans="1:27" x14ac:dyDescent="0.2">
      <c r="A78" s="99" t="str">
        <f t="shared" ref="A78:B78" si="37">IF(A33="","",A33)</f>
        <v/>
      </c>
      <c r="B78" s="129" t="str">
        <f t="shared" si="37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</row>
    <row r="79" spans="1:27" x14ac:dyDescent="0.2">
      <c r="A79" s="99" t="str">
        <f t="shared" ref="A79:B79" si="38">IF(A34="","",A34)</f>
        <v/>
      </c>
      <c r="B79" s="129" t="str">
        <f t="shared" si="38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</row>
    <row r="80" spans="1:27" x14ac:dyDescent="0.2">
      <c r="A80" s="99" t="str">
        <f t="shared" ref="A80:B80" si="39">IF(A35="","",A35)</f>
        <v/>
      </c>
      <c r="B80" s="129" t="str">
        <f t="shared" si="39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</row>
    <row r="81" spans="1:12" x14ac:dyDescent="0.2">
      <c r="A81" s="99" t="str">
        <f t="shared" ref="A81:B81" si="40">IF(A36="","",A36)</f>
        <v/>
      </c>
      <c r="B81" s="129" t="str">
        <f t="shared" si="40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</row>
    <row r="82" spans="1:12" x14ac:dyDescent="0.2">
      <c r="A82" s="99" t="str">
        <f t="shared" ref="A82:B82" si="41">IF(A37="","",A37)</f>
        <v/>
      </c>
      <c r="B82" s="129" t="str">
        <f t="shared" si="41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</row>
    <row r="83" spans="1:12" x14ac:dyDescent="0.2">
      <c r="A83" s="9" t="s">
        <v>33</v>
      </c>
      <c r="B83" s="55">
        <f t="shared" ref="B83:L83" si="42">SUM(B53:B82)</f>
        <v>0</v>
      </c>
      <c r="C83" s="49">
        <f t="shared" si="42"/>
        <v>0</v>
      </c>
      <c r="D83" s="49">
        <f t="shared" si="42"/>
        <v>0</v>
      </c>
      <c r="E83" s="49">
        <f t="shared" si="42"/>
        <v>0</v>
      </c>
      <c r="F83" s="49">
        <f t="shared" si="42"/>
        <v>0</v>
      </c>
      <c r="G83" s="49">
        <f t="shared" si="42"/>
        <v>0</v>
      </c>
      <c r="H83" s="49">
        <f t="shared" si="42"/>
        <v>0</v>
      </c>
      <c r="I83" s="50">
        <f t="shared" si="42"/>
        <v>0</v>
      </c>
      <c r="J83" s="50">
        <f t="shared" si="42"/>
        <v>0</v>
      </c>
      <c r="K83" s="50">
        <f t="shared" si="42"/>
        <v>0</v>
      </c>
      <c r="L83" s="50">
        <f t="shared" si="42"/>
        <v>0</v>
      </c>
    </row>
    <row r="84" spans="1:12" x14ac:dyDescent="0.2">
      <c r="A84" s="9" t="s">
        <v>34</v>
      </c>
      <c r="B84" s="169"/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2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3">SUM(D53:D82)</f>
        <v>0</v>
      </c>
      <c r="E85" s="49">
        <f t="shared" si="43"/>
        <v>0</v>
      </c>
      <c r="F85" s="49">
        <f t="shared" si="43"/>
        <v>0</v>
      </c>
      <c r="G85" s="49">
        <f t="shared" si="43"/>
        <v>0</v>
      </c>
      <c r="H85" s="49">
        <f t="shared" si="43"/>
        <v>0</v>
      </c>
      <c r="I85" s="50">
        <f t="shared" si="43"/>
        <v>0</v>
      </c>
      <c r="J85" s="50">
        <f t="shared" si="43"/>
        <v>0</v>
      </c>
      <c r="K85" s="50">
        <f t="shared" si="43"/>
        <v>0</v>
      </c>
      <c r="L85" s="51">
        <f t="shared" si="43"/>
        <v>0</v>
      </c>
    </row>
    <row r="86" spans="1:12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2" x14ac:dyDescent="0.2">
      <c r="A87" s="9" t="s">
        <v>37</v>
      </c>
      <c r="B87" s="59" t="e">
        <f>SUM(C87:H87)</f>
        <v>#DIV/0!</v>
      </c>
      <c r="C87" s="214" t="e">
        <v>#DIV/0!</v>
      </c>
      <c r="D87" s="214" t="e">
        <v>#DIV/0!</v>
      </c>
      <c r="E87" s="214" t="e">
        <v>#DIV/0!</v>
      </c>
      <c r="F87" s="86" t="e">
        <f>F86+100-B86</f>
        <v>#DIV/0!</v>
      </c>
      <c r="G87" s="214" t="e">
        <v>#DIV/0!</v>
      </c>
      <c r="H87" s="214" t="e">
        <v>#DIV/0!</v>
      </c>
      <c r="I87" s="214" t="e">
        <v>#DIV/0!</v>
      </c>
      <c r="J87" s="216" t="e">
        <v>#DIV/0!</v>
      </c>
      <c r="K87" s="216" t="e">
        <v>#DIV/0!</v>
      </c>
      <c r="L87" s="217" t="e">
        <v>#DIV/0!</v>
      </c>
    </row>
    <row r="88" spans="1:12" x14ac:dyDescent="0.2">
      <c r="A88" s="6"/>
      <c r="B88" s="213" t="s">
        <v>98</v>
      </c>
      <c r="C88" s="213"/>
      <c r="D88" s="6"/>
      <c r="E88" s="6"/>
      <c r="F88" s="6"/>
      <c r="G88" s="6"/>
      <c r="H88" s="6"/>
      <c r="I88" s="6"/>
      <c r="J88" s="162"/>
      <c r="K88" s="6"/>
      <c r="L88" s="29"/>
    </row>
    <row r="89" spans="1:12" x14ac:dyDescent="0.2">
      <c r="A89" s="121" t="s">
        <v>23</v>
      </c>
      <c r="B89" s="121" t="s">
        <v>18</v>
      </c>
      <c r="C89" s="121" t="s">
        <v>4</v>
      </c>
      <c r="D89" s="121" t="s">
        <v>5</v>
      </c>
      <c r="E89" s="121" t="s">
        <v>6</v>
      </c>
      <c r="F89" s="121" t="s">
        <v>7</v>
      </c>
      <c r="G89" s="121" t="s">
        <v>8</v>
      </c>
      <c r="H89" s="121" t="s">
        <v>9</v>
      </c>
      <c r="I89" s="122" t="s">
        <v>24</v>
      </c>
      <c r="J89" s="123" t="s">
        <v>11</v>
      </c>
      <c r="K89" s="124" t="s">
        <v>12</v>
      </c>
      <c r="L89" s="125" t="s">
        <v>13</v>
      </c>
    </row>
    <row r="90" spans="1:12" x14ac:dyDescent="0.2">
      <c r="A90" s="26" t="s">
        <v>26</v>
      </c>
      <c r="B90" s="171">
        <f>B40*(100-B84)/100</f>
        <v>100</v>
      </c>
      <c r="C90" s="49" t="e">
        <f>C87/100*B90</f>
        <v>#DIV/0!</v>
      </c>
      <c r="D90" s="49" t="e">
        <f>D87/100*B90</f>
        <v>#DIV/0!</v>
      </c>
      <c r="E90" s="49" t="e">
        <f>E87/100*B90</f>
        <v>#DIV/0!</v>
      </c>
      <c r="F90" s="49" t="e">
        <f>F87/100*B90</f>
        <v>#DIV/0!</v>
      </c>
      <c r="G90" s="49" t="e">
        <f>G87/100*B90</f>
        <v>#DIV/0!</v>
      </c>
      <c r="H90" s="49" t="e">
        <f>H87/100*B90</f>
        <v>#DIV/0!</v>
      </c>
      <c r="I90" s="50" t="e">
        <f>I87/100*B90</f>
        <v>#DIV/0!</v>
      </c>
      <c r="J90" s="57" t="e">
        <f>J87/100*B90</f>
        <v>#DIV/0!</v>
      </c>
      <c r="K90" s="57" t="e">
        <f>K87/100*B90</f>
        <v>#DIV/0!</v>
      </c>
      <c r="L90" s="58" t="e">
        <f>L87/100*B90</f>
        <v>#DIV/0!</v>
      </c>
    </row>
    <row r="91" spans="1:12" x14ac:dyDescent="0.2">
      <c r="A91" s="99" t="str">
        <f>IF(A41="","",A41)</f>
        <v/>
      </c>
      <c r="B91" s="129" t="str">
        <f>IF(B41="","",B41)</f>
        <v/>
      </c>
      <c r="C91" s="49">
        <f t="shared" ref="C91:C99" si="44">C41/100*B91</f>
        <v>0</v>
      </c>
      <c r="D91" s="49">
        <f t="shared" ref="D91:D99" si="45">D41/100*B91</f>
        <v>0</v>
      </c>
      <c r="E91" s="49">
        <f t="shared" ref="E91:E99" si="46">E41/100*B91</f>
        <v>0</v>
      </c>
      <c r="F91" s="49">
        <f t="shared" ref="F91:F99" si="47">F41/100*B91</f>
        <v>0</v>
      </c>
      <c r="G91" s="49">
        <f t="shared" ref="G91:G99" si="48">G41/100*B91</f>
        <v>0</v>
      </c>
      <c r="H91" s="49">
        <f t="shared" ref="H91:H99" si="49">H41/100*B91</f>
        <v>0</v>
      </c>
      <c r="I91" s="50">
        <f t="shared" ref="I91:I99" si="50">I41/100*B91</f>
        <v>0</v>
      </c>
      <c r="J91" s="57">
        <f t="shared" ref="J91:J99" si="51">J41/100*B91</f>
        <v>0</v>
      </c>
      <c r="K91" s="57">
        <f t="shared" ref="K91:K99" si="52">K41/100*B91</f>
        <v>0</v>
      </c>
      <c r="L91" s="57">
        <f t="shared" ref="L91:L99" si="53">L41/100*B91</f>
        <v>0</v>
      </c>
    </row>
    <row r="92" spans="1:12" x14ac:dyDescent="0.2">
      <c r="A92" s="99" t="str">
        <f t="shared" ref="A92:B92" si="54">IF(A42="","",A42)</f>
        <v/>
      </c>
      <c r="B92" s="129" t="str">
        <f t="shared" si="54"/>
        <v/>
      </c>
      <c r="C92" s="49">
        <f t="shared" si="44"/>
        <v>0</v>
      </c>
      <c r="D92" s="49">
        <f t="shared" si="45"/>
        <v>0</v>
      </c>
      <c r="E92" s="49">
        <f t="shared" si="46"/>
        <v>0</v>
      </c>
      <c r="F92" s="49">
        <f t="shared" si="47"/>
        <v>0</v>
      </c>
      <c r="G92" s="49">
        <f t="shared" si="48"/>
        <v>0</v>
      </c>
      <c r="H92" s="49">
        <f t="shared" si="49"/>
        <v>0</v>
      </c>
      <c r="I92" s="50">
        <f t="shared" si="50"/>
        <v>0</v>
      </c>
      <c r="J92" s="57">
        <f t="shared" si="51"/>
        <v>0</v>
      </c>
      <c r="K92" s="57">
        <f t="shared" si="52"/>
        <v>0</v>
      </c>
      <c r="L92" s="57">
        <f t="shared" si="53"/>
        <v>0</v>
      </c>
    </row>
    <row r="93" spans="1:12" x14ac:dyDescent="0.2">
      <c r="A93" s="99" t="str">
        <f t="shared" ref="A93:B93" si="55">IF(A43="","",A43)</f>
        <v/>
      </c>
      <c r="B93" s="129" t="str">
        <f t="shared" si="55"/>
        <v/>
      </c>
      <c r="C93" s="49">
        <f t="shared" si="44"/>
        <v>0</v>
      </c>
      <c r="D93" s="49">
        <f t="shared" si="45"/>
        <v>0</v>
      </c>
      <c r="E93" s="49">
        <f t="shared" si="46"/>
        <v>0</v>
      </c>
      <c r="F93" s="49">
        <f t="shared" si="47"/>
        <v>0</v>
      </c>
      <c r="G93" s="49">
        <f t="shared" si="48"/>
        <v>0</v>
      </c>
      <c r="H93" s="49">
        <f t="shared" si="49"/>
        <v>0</v>
      </c>
      <c r="I93" s="50">
        <f t="shared" si="50"/>
        <v>0</v>
      </c>
      <c r="J93" s="57">
        <f t="shared" si="51"/>
        <v>0</v>
      </c>
      <c r="K93" s="57">
        <f t="shared" si="52"/>
        <v>0</v>
      </c>
      <c r="L93" s="57">
        <f t="shared" si="53"/>
        <v>0</v>
      </c>
    </row>
    <row r="94" spans="1:12" x14ac:dyDescent="0.2">
      <c r="A94" s="99" t="str">
        <f t="shared" ref="A94:B94" si="56">IF(A44="","",A44)</f>
        <v/>
      </c>
      <c r="B94" s="129" t="str">
        <f t="shared" si="56"/>
        <v/>
      </c>
      <c r="C94" s="49">
        <f t="shared" si="44"/>
        <v>0</v>
      </c>
      <c r="D94" s="49">
        <f t="shared" si="45"/>
        <v>0</v>
      </c>
      <c r="E94" s="49">
        <f t="shared" si="46"/>
        <v>0</v>
      </c>
      <c r="F94" s="49">
        <f t="shared" si="47"/>
        <v>0</v>
      </c>
      <c r="G94" s="49">
        <f t="shared" si="48"/>
        <v>0</v>
      </c>
      <c r="H94" s="49">
        <f t="shared" si="49"/>
        <v>0</v>
      </c>
      <c r="I94" s="50">
        <f t="shared" si="50"/>
        <v>0</v>
      </c>
      <c r="J94" s="57">
        <f t="shared" si="51"/>
        <v>0</v>
      </c>
      <c r="K94" s="57">
        <f t="shared" si="52"/>
        <v>0</v>
      </c>
      <c r="L94" s="57">
        <f t="shared" si="53"/>
        <v>0</v>
      </c>
    </row>
    <row r="95" spans="1:12" x14ac:dyDescent="0.2">
      <c r="A95" s="99" t="str">
        <f t="shared" ref="A95:B95" si="57">IF(A45="","",A45)</f>
        <v/>
      </c>
      <c r="B95" s="129" t="str">
        <f t="shared" si="57"/>
        <v/>
      </c>
      <c r="C95" s="49">
        <f t="shared" si="44"/>
        <v>0</v>
      </c>
      <c r="D95" s="49">
        <f t="shared" si="45"/>
        <v>0</v>
      </c>
      <c r="E95" s="49">
        <f t="shared" si="46"/>
        <v>0</v>
      </c>
      <c r="F95" s="49">
        <f t="shared" si="47"/>
        <v>0</v>
      </c>
      <c r="G95" s="49">
        <f t="shared" si="48"/>
        <v>0</v>
      </c>
      <c r="H95" s="49">
        <f t="shared" si="49"/>
        <v>0</v>
      </c>
      <c r="I95" s="50">
        <f t="shared" si="50"/>
        <v>0</v>
      </c>
      <c r="J95" s="57">
        <f t="shared" si="51"/>
        <v>0</v>
      </c>
      <c r="K95" s="57">
        <f t="shared" si="52"/>
        <v>0</v>
      </c>
      <c r="L95" s="57">
        <f t="shared" si="53"/>
        <v>0</v>
      </c>
    </row>
    <row r="96" spans="1:12" x14ac:dyDescent="0.2">
      <c r="A96" s="99" t="str">
        <f t="shared" ref="A96:B96" si="58">IF(A46="","",A46)</f>
        <v/>
      </c>
      <c r="B96" s="129" t="str">
        <f t="shared" si="58"/>
        <v/>
      </c>
      <c r="C96" s="49">
        <f t="shared" si="44"/>
        <v>0</v>
      </c>
      <c r="D96" s="49">
        <f t="shared" si="45"/>
        <v>0</v>
      </c>
      <c r="E96" s="49">
        <f t="shared" si="46"/>
        <v>0</v>
      </c>
      <c r="F96" s="49">
        <f t="shared" si="47"/>
        <v>0</v>
      </c>
      <c r="G96" s="49">
        <f t="shared" si="48"/>
        <v>0</v>
      </c>
      <c r="H96" s="49">
        <f t="shared" si="49"/>
        <v>0</v>
      </c>
      <c r="I96" s="50">
        <f t="shared" si="50"/>
        <v>0</v>
      </c>
      <c r="J96" s="57">
        <f t="shared" si="51"/>
        <v>0</v>
      </c>
      <c r="K96" s="57">
        <f t="shared" si="52"/>
        <v>0</v>
      </c>
      <c r="L96" s="57">
        <f t="shared" si="53"/>
        <v>0</v>
      </c>
    </row>
    <row r="97" spans="1:12" x14ac:dyDescent="0.2">
      <c r="A97" s="99" t="str">
        <f t="shared" ref="A97:B97" si="59">IF(A47="","",A47)</f>
        <v/>
      </c>
      <c r="B97" s="129" t="str">
        <f t="shared" si="59"/>
        <v/>
      </c>
      <c r="C97" s="49">
        <f t="shared" si="44"/>
        <v>0</v>
      </c>
      <c r="D97" s="49">
        <f t="shared" si="45"/>
        <v>0</v>
      </c>
      <c r="E97" s="49">
        <f t="shared" si="46"/>
        <v>0</v>
      </c>
      <c r="F97" s="49">
        <f t="shared" si="47"/>
        <v>0</v>
      </c>
      <c r="G97" s="49">
        <f t="shared" si="48"/>
        <v>0</v>
      </c>
      <c r="H97" s="49">
        <f t="shared" si="49"/>
        <v>0</v>
      </c>
      <c r="I97" s="50">
        <f t="shared" si="50"/>
        <v>0</v>
      </c>
      <c r="J97" s="57">
        <f t="shared" si="51"/>
        <v>0</v>
      </c>
      <c r="K97" s="57">
        <f t="shared" si="52"/>
        <v>0</v>
      </c>
      <c r="L97" s="57">
        <f t="shared" si="53"/>
        <v>0</v>
      </c>
    </row>
    <row r="98" spans="1:12" x14ac:dyDescent="0.2">
      <c r="A98" s="99" t="str">
        <f t="shared" ref="A98:B98" si="60">IF(A48="","",A48)</f>
        <v/>
      </c>
      <c r="B98" s="129" t="str">
        <f t="shared" si="60"/>
        <v/>
      </c>
      <c r="C98" s="49">
        <f t="shared" si="44"/>
        <v>0</v>
      </c>
      <c r="D98" s="49">
        <f t="shared" si="45"/>
        <v>0</v>
      </c>
      <c r="E98" s="49">
        <f t="shared" si="46"/>
        <v>0</v>
      </c>
      <c r="F98" s="49">
        <f t="shared" si="47"/>
        <v>0</v>
      </c>
      <c r="G98" s="49">
        <f t="shared" si="48"/>
        <v>0</v>
      </c>
      <c r="H98" s="49">
        <f t="shared" si="49"/>
        <v>0</v>
      </c>
      <c r="I98" s="50">
        <f t="shared" si="50"/>
        <v>0</v>
      </c>
      <c r="J98" s="57">
        <f t="shared" si="51"/>
        <v>0</v>
      </c>
      <c r="K98" s="57">
        <f t="shared" si="52"/>
        <v>0</v>
      </c>
      <c r="L98" s="57">
        <f t="shared" si="53"/>
        <v>0</v>
      </c>
    </row>
    <row r="99" spans="1:12" x14ac:dyDescent="0.2">
      <c r="A99" s="99" t="str">
        <f t="shared" ref="A99:B99" si="61">IF(A49="","",A49)</f>
        <v/>
      </c>
      <c r="B99" s="129" t="str">
        <f t="shared" si="61"/>
        <v/>
      </c>
      <c r="C99" s="49">
        <f t="shared" si="44"/>
        <v>0</v>
      </c>
      <c r="D99" s="49">
        <f t="shared" si="45"/>
        <v>0</v>
      </c>
      <c r="E99" s="49">
        <f t="shared" si="46"/>
        <v>0</v>
      </c>
      <c r="F99" s="49">
        <f t="shared" si="47"/>
        <v>0</v>
      </c>
      <c r="G99" s="49">
        <f t="shared" si="48"/>
        <v>0</v>
      </c>
      <c r="H99" s="49">
        <f t="shared" si="49"/>
        <v>0</v>
      </c>
      <c r="I99" s="50">
        <f t="shared" si="50"/>
        <v>0</v>
      </c>
      <c r="J99" s="57">
        <f t="shared" si="51"/>
        <v>0</v>
      </c>
      <c r="K99" s="57">
        <f t="shared" si="52"/>
        <v>0</v>
      </c>
      <c r="L99" s="57">
        <f t="shared" si="53"/>
        <v>0</v>
      </c>
    </row>
    <row r="100" spans="1:12" x14ac:dyDescent="0.2">
      <c r="A100" s="9" t="s">
        <v>33</v>
      </c>
      <c r="B100" s="55">
        <f t="shared" ref="B100:L100" si="62">SUM(B90:B99)</f>
        <v>100</v>
      </c>
      <c r="C100" s="49" t="e">
        <f>SUM(C90:C99)</f>
        <v>#DIV/0!</v>
      </c>
      <c r="D100" s="49" t="e">
        <f t="shared" si="62"/>
        <v>#DIV/0!</v>
      </c>
      <c r="E100" s="49" t="e">
        <f t="shared" si="62"/>
        <v>#DIV/0!</v>
      </c>
      <c r="F100" s="49" t="e">
        <f t="shared" si="62"/>
        <v>#DIV/0!</v>
      </c>
      <c r="G100" s="49" t="e">
        <f t="shared" si="62"/>
        <v>#DIV/0!</v>
      </c>
      <c r="H100" s="49" t="e">
        <f t="shared" si="62"/>
        <v>#DIV/0!</v>
      </c>
      <c r="I100" s="50" t="e">
        <f t="shared" si="62"/>
        <v>#DIV/0!</v>
      </c>
      <c r="J100" s="50" t="e">
        <f t="shared" si="62"/>
        <v>#DIV/0!</v>
      </c>
      <c r="K100" s="50" t="e">
        <f t="shared" si="62"/>
        <v>#DIV/0!</v>
      </c>
      <c r="L100" s="50" t="e">
        <f t="shared" si="62"/>
        <v>#DIV/0!</v>
      </c>
    </row>
    <row r="101" spans="1:12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2" x14ac:dyDescent="0.2">
      <c r="A102" s="9" t="s">
        <v>35</v>
      </c>
      <c r="B102" s="55">
        <f>B100-B100*B101/100</f>
        <v>100</v>
      </c>
      <c r="C102" s="49" t="e">
        <f>C100-B100*B101/100</f>
        <v>#DIV/0!</v>
      </c>
      <c r="D102" s="49" t="e">
        <f t="shared" ref="D102:L102" si="63">SUM(D90:D99)</f>
        <v>#DIV/0!</v>
      </c>
      <c r="E102" s="49" t="e">
        <f t="shared" si="63"/>
        <v>#DIV/0!</v>
      </c>
      <c r="F102" s="49" t="e">
        <f t="shared" si="63"/>
        <v>#DIV/0!</v>
      </c>
      <c r="G102" s="49" t="e">
        <f t="shared" si="63"/>
        <v>#DIV/0!</v>
      </c>
      <c r="H102" s="49" t="e">
        <f t="shared" si="63"/>
        <v>#DIV/0!</v>
      </c>
      <c r="I102" s="50" t="e">
        <f t="shared" si="63"/>
        <v>#DIV/0!</v>
      </c>
      <c r="J102" s="61" t="e">
        <f t="shared" si="63"/>
        <v>#DIV/0!</v>
      </c>
      <c r="K102" s="61" t="e">
        <f t="shared" si="63"/>
        <v>#DIV/0!</v>
      </c>
      <c r="L102" s="58" t="e">
        <f t="shared" si="63"/>
        <v>#DIV/0!</v>
      </c>
    </row>
    <row r="103" spans="1:12" ht="18" thickBot="1" x14ac:dyDescent="0.25">
      <c r="A103" s="62" t="s">
        <v>36</v>
      </c>
      <c r="B103" s="63" t="e">
        <f>SUM(C103:H103)</f>
        <v>#DIV/0!</v>
      </c>
      <c r="C103" s="63" t="e">
        <f>ROUND(+C102/B102*100,1)</f>
        <v>#DIV/0!</v>
      </c>
      <c r="D103" s="63" t="e">
        <f>ROUND(+D102/B102*100,1)</f>
        <v>#DIV/0!</v>
      </c>
      <c r="E103" s="63" t="e">
        <f>ROUND(+E102/B102*100,1)</f>
        <v>#DIV/0!</v>
      </c>
      <c r="F103" s="63" t="e">
        <f>ROUND(+F102/B102*100,1)</f>
        <v>#DIV/0!</v>
      </c>
      <c r="G103" s="63" t="e">
        <f>ROUND(+G102/B102*100,1)</f>
        <v>#DIV/0!</v>
      </c>
      <c r="H103" s="63" t="e">
        <f>ROUND(+H102/B102*100,1)</f>
        <v>#DIV/0!</v>
      </c>
      <c r="I103" s="93" t="e">
        <f>ROUND(+I102/B102*100,0)</f>
        <v>#DIV/0!</v>
      </c>
      <c r="J103" s="92" t="e">
        <f>ROUND(+J102/B102*100,2)</f>
        <v>#DIV/0!</v>
      </c>
      <c r="K103" s="92" t="e">
        <f>ROUND(+K102/B102*100,2)</f>
        <v>#DIV/0!</v>
      </c>
      <c r="L103" s="94" t="e">
        <f>ROUND(+L102/B102*100,0)</f>
        <v>#DIV/0!</v>
      </c>
    </row>
    <row r="104" spans="1:12" ht="18.75" thickTop="1" thickBot="1" x14ac:dyDescent="0.25">
      <c r="A104" s="64" t="s">
        <v>37</v>
      </c>
      <c r="B104" s="65" t="e">
        <f>SUM(C104:H104)</f>
        <v>#DIV/0!</v>
      </c>
      <c r="C104" s="215" t="e">
        <v>#DIV/0!</v>
      </c>
      <c r="D104" s="215" t="e">
        <v>#DIV/0!</v>
      </c>
      <c r="E104" s="215" t="e">
        <v>#DIV/0!</v>
      </c>
      <c r="F104" s="66" t="e">
        <f>F103+100-B103</f>
        <v>#DIV/0!</v>
      </c>
      <c r="G104" s="215" t="e">
        <v>#DIV/0!</v>
      </c>
      <c r="H104" s="215" t="e">
        <v>#DIV/0!</v>
      </c>
      <c r="I104" s="218" t="e">
        <v>#DIV/0!</v>
      </c>
      <c r="J104" s="219" t="e">
        <v>#DIV/0!</v>
      </c>
      <c r="K104" s="219" t="e">
        <v>#DIV/0!</v>
      </c>
      <c r="L104" s="220" t="e">
        <v>#DIV/0!</v>
      </c>
    </row>
    <row r="105" spans="1:12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2" ht="25.5" thickTop="1" thickBot="1" x14ac:dyDescent="0.3">
      <c r="A106" s="130" t="s">
        <v>65</v>
      </c>
      <c r="B106" s="131"/>
      <c r="C106" s="134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5" t="str">
        <f>IF(COUNTIF($A$6,"*ﾍﾞｲｼｱ*"),"食塩相当量は小数点1桁にする！AK列も「1」に変更すること！！","")</f>
        <v/>
      </c>
      <c r="H106" s="173" t="s">
        <v>100</v>
      </c>
      <c r="I106" s="174">
        <v>115</v>
      </c>
      <c r="J106" s="69"/>
      <c r="K106" s="69"/>
      <c r="L106" s="8"/>
    </row>
    <row r="107" spans="1:12" ht="18.75" thickBot="1" x14ac:dyDescent="0.25">
      <c r="A107" s="2"/>
      <c r="B107" s="2"/>
      <c r="C107" s="2"/>
      <c r="D107" s="2"/>
      <c r="E107" s="73"/>
      <c r="F107" s="74"/>
      <c r="G107" s="2"/>
      <c r="H107" s="175" t="s">
        <v>101</v>
      </c>
      <c r="I107" s="176">
        <v>103</v>
      </c>
      <c r="J107" s="2"/>
      <c r="K107" s="2"/>
      <c r="L107" s="3"/>
    </row>
    <row r="108" spans="1:12" ht="18.75" thickBot="1" x14ac:dyDescent="0.25">
      <c r="A108" s="75" t="s">
        <v>38</v>
      </c>
      <c r="B108" s="76"/>
      <c r="C108" s="77" t="e">
        <f>ROUND(+D104*4+E104*9+F104*4+G104*2,0)</f>
        <v>#DIV/0!</v>
      </c>
      <c r="D108" s="75" t="s">
        <v>39</v>
      </c>
      <c r="E108" s="78"/>
      <c r="F108" s="73"/>
      <c r="G108" s="2"/>
      <c r="H108" s="177" t="s">
        <v>102</v>
      </c>
      <c r="I108" s="178">
        <v>10.5</v>
      </c>
      <c r="J108" s="2"/>
      <c r="K108" s="2"/>
      <c r="L108" s="3"/>
    </row>
    <row r="109" spans="1:12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2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2" x14ac:dyDescent="0.2">
      <c r="A111" s="2"/>
      <c r="B111" s="79"/>
      <c r="C111" s="102" t="s">
        <v>43</v>
      </c>
      <c r="D111" s="79"/>
      <c r="E111" s="79" t="str">
        <f>AG12</f>
        <v>1包装当たり</v>
      </c>
      <c r="F111" s="79"/>
      <c r="G111" s="79"/>
      <c r="H111" s="79"/>
      <c r="I111" s="79"/>
      <c r="J111" s="79"/>
      <c r="K111" s="79"/>
      <c r="L111" s="3"/>
    </row>
    <row r="112" spans="1:12" x14ac:dyDescent="0.2">
      <c r="A112" s="2"/>
      <c r="B112" s="79"/>
      <c r="C112" s="103" t="s">
        <v>44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45</v>
      </c>
      <c r="J112" s="103" t="s">
        <v>46</v>
      </c>
      <c r="K112" s="103" t="s">
        <v>86</v>
      </c>
      <c r="L112" s="3"/>
    </row>
    <row r="113" spans="1:25" x14ac:dyDescent="0.2">
      <c r="A113" s="2"/>
      <c r="B113" s="79"/>
      <c r="C113" s="104" t="e">
        <f>AG14</f>
        <v>#DIV/0!</v>
      </c>
      <c r="D113" s="105" t="e">
        <f>AG15</f>
        <v>#DIV/0!</v>
      </c>
      <c r="E113" s="105" t="e">
        <f>AG16</f>
        <v>#DIV/0!</v>
      </c>
      <c r="F113" s="106" t="e">
        <f>AG17</f>
        <v>#DIV/0!</v>
      </c>
      <c r="G113" s="107" t="e">
        <f>AG20</f>
        <v>#DIV/0!</v>
      </c>
      <c r="H113" s="108" t="e">
        <f>AG25</f>
        <v>#DIV/0!</v>
      </c>
      <c r="I113" s="107" t="e">
        <f>IF(AG13&gt;=100,AG26,IF(AE26&lt;0.3,0,AG26))</f>
        <v>#DIV/0!</v>
      </c>
      <c r="J113" s="109" t="e">
        <f>IF(AE27&lt;5,0,AG27)</f>
        <v>#DIV/0!</v>
      </c>
      <c r="K113" s="157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47</v>
      </c>
      <c r="D114" s="111" t="s">
        <v>48</v>
      </c>
      <c r="E114" s="111" t="s">
        <v>48</v>
      </c>
      <c r="F114" s="112" t="s">
        <v>48</v>
      </c>
      <c r="G114" s="111" t="s">
        <v>48</v>
      </c>
      <c r="H114" s="112" t="s">
        <v>48</v>
      </c>
      <c r="I114" s="111" t="s">
        <v>48</v>
      </c>
      <c r="J114" s="113" t="s">
        <v>49</v>
      </c>
      <c r="K114" s="158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74</v>
      </c>
    </row>
    <row r="118" spans="1:25" ht="18" thickBot="1" x14ac:dyDescent="0.25">
      <c r="A118" s="90"/>
      <c r="B118" s="143"/>
      <c r="C118" s="196" t="str">
        <f>"1"&amp;$G$6&amp;""</f>
        <v>1kg</v>
      </c>
      <c r="D118" s="196"/>
      <c r="E118" s="196"/>
      <c r="F118" s="196"/>
      <c r="G118" s="196"/>
      <c r="H118" s="196"/>
      <c r="I118" s="197"/>
      <c r="J118" s="196"/>
      <c r="K118" s="196"/>
      <c r="L118" s="196"/>
      <c r="M118" s="198" t="s">
        <v>75</v>
      </c>
      <c r="N118" s="198"/>
      <c r="O118" s="143"/>
    </row>
    <row r="119" spans="1:25" ht="18.75" thickTop="1" thickBot="1" x14ac:dyDescent="0.25">
      <c r="A119" s="114"/>
      <c r="B119" s="144"/>
      <c r="C119" s="199" t="s">
        <v>76</v>
      </c>
      <c r="D119" s="199"/>
      <c r="E119" s="199"/>
      <c r="F119" s="199"/>
      <c r="G119" s="199"/>
      <c r="H119" s="199"/>
      <c r="I119" s="200"/>
      <c r="J119" s="199"/>
      <c r="K119" s="201">
        <f>B106</f>
        <v>0</v>
      </c>
      <c r="L119" s="202"/>
      <c r="M119" s="202"/>
      <c r="N119" s="202"/>
      <c r="O119" s="143" t="s">
        <v>77</v>
      </c>
    </row>
    <row r="120" spans="1:25" ht="18.75" thickTop="1" thickBot="1" x14ac:dyDescent="0.25">
      <c r="A120" s="90"/>
      <c r="B120" s="145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7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</row>
    <row r="121" spans="1:25" x14ac:dyDescent="0.2">
      <c r="B121" s="149"/>
      <c r="C121" s="207" t="s">
        <v>44</v>
      </c>
      <c r="D121" s="207"/>
      <c r="E121" s="207"/>
      <c r="F121" s="207"/>
      <c r="G121" s="207"/>
      <c r="H121" s="208"/>
      <c r="I121" s="193" t="e">
        <f t="shared" ref="I121:I127" si="64">AG14</f>
        <v>#DIV/0!</v>
      </c>
      <c r="J121" s="194"/>
      <c r="K121" s="194"/>
      <c r="L121" s="195"/>
      <c r="M121" s="150" t="s">
        <v>47</v>
      </c>
      <c r="N121" s="151"/>
      <c r="O121" s="152"/>
      <c r="P121" s="148"/>
      <c r="Q121" s="148"/>
      <c r="R121" s="148"/>
    </row>
    <row r="122" spans="1:25" x14ac:dyDescent="0.2">
      <c r="B122" s="149"/>
      <c r="C122" s="211" t="s">
        <v>80</v>
      </c>
      <c r="D122" s="211"/>
      <c r="E122" s="211"/>
      <c r="F122" s="211"/>
      <c r="G122" s="211"/>
      <c r="H122" s="212"/>
      <c r="I122" s="182" t="e">
        <f t="shared" si="64"/>
        <v>#DIV/0!</v>
      </c>
      <c r="J122" s="183"/>
      <c r="K122" s="183"/>
      <c r="L122" s="184"/>
      <c r="M122" s="153" t="s">
        <v>58</v>
      </c>
      <c r="N122" s="154"/>
      <c r="O122" s="155"/>
      <c r="P122" s="148"/>
      <c r="Q122" s="148"/>
      <c r="R122" s="148"/>
    </row>
    <row r="123" spans="1:25" x14ac:dyDescent="0.2">
      <c r="B123" s="149"/>
      <c r="C123" s="211" t="s">
        <v>81</v>
      </c>
      <c r="D123" s="211"/>
      <c r="E123" s="211"/>
      <c r="F123" s="211"/>
      <c r="G123" s="211"/>
      <c r="H123" s="212"/>
      <c r="I123" s="182" t="e">
        <f t="shared" si="64"/>
        <v>#DIV/0!</v>
      </c>
      <c r="J123" s="183"/>
      <c r="K123" s="183"/>
      <c r="L123" s="184"/>
      <c r="M123" s="153" t="s">
        <v>58</v>
      </c>
      <c r="N123" s="154"/>
      <c r="O123" s="155"/>
      <c r="P123" s="148"/>
      <c r="Q123" s="148"/>
      <c r="R123" s="148"/>
    </row>
    <row r="124" spans="1:25" x14ac:dyDescent="0.2">
      <c r="B124" s="149"/>
      <c r="C124" s="211" t="s">
        <v>82</v>
      </c>
      <c r="D124" s="211"/>
      <c r="E124" s="211"/>
      <c r="F124" s="211"/>
      <c r="G124" s="211"/>
      <c r="H124" s="212"/>
      <c r="I124" s="182" t="e">
        <f t="shared" si="64"/>
        <v>#DIV/0!</v>
      </c>
      <c r="J124" s="183"/>
      <c r="K124" s="183"/>
      <c r="L124" s="184"/>
      <c r="M124" s="153" t="s">
        <v>78</v>
      </c>
      <c r="N124" s="154"/>
      <c r="O124" s="155"/>
      <c r="P124" s="148"/>
      <c r="Q124" s="148"/>
      <c r="R124" s="148"/>
    </row>
    <row r="125" spans="1:25" x14ac:dyDescent="0.2">
      <c r="B125" s="149"/>
      <c r="C125" s="211" t="s">
        <v>83</v>
      </c>
      <c r="D125" s="211"/>
      <c r="E125" s="211"/>
      <c r="F125" s="211"/>
      <c r="G125" s="211"/>
      <c r="H125" s="212"/>
      <c r="I125" s="182" t="e">
        <f t="shared" si="64"/>
        <v>#DIV/0!</v>
      </c>
      <c r="J125" s="183"/>
      <c r="K125" s="183"/>
      <c r="L125" s="184"/>
      <c r="M125" s="153" t="s">
        <v>58</v>
      </c>
      <c r="N125" s="154"/>
      <c r="O125" s="155"/>
      <c r="P125" s="148"/>
      <c r="Q125" s="148"/>
      <c r="R125" s="148"/>
    </row>
    <row r="126" spans="1:25" x14ac:dyDescent="0.2">
      <c r="B126" s="149"/>
      <c r="C126" s="211" t="s">
        <v>84</v>
      </c>
      <c r="D126" s="211"/>
      <c r="E126" s="211"/>
      <c r="F126" s="211"/>
      <c r="G126" s="211"/>
      <c r="H126" s="212"/>
      <c r="I126" s="182" t="e">
        <f t="shared" si="64"/>
        <v>#DIV/0!</v>
      </c>
      <c r="J126" s="183"/>
      <c r="K126" s="183"/>
      <c r="L126" s="184"/>
      <c r="M126" s="153" t="s">
        <v>58</v>
      </c>
      <c r="N126" s="154"/>
      <c r="O126" s="155"/>
      <c r="P126" s="148"/>
      <c r="Q126" s="148"/>
      <c r="R126" s="148"/>
    </row>
    <row r="127" spans="1:25" x14ac:dyDescent="0.2">
      <c r="B127" s="149"/>
      <c r="C127" s="211" t="s">
        <v>79</v>
      </c>
      <c r="D127" s="211"/>
      <c r="E127" s="211"/>
      <c r="F127" s="211"/>
      <c r="G127" s="211"/>
      <c r="H127" s="212"/>
      <c r="I127" s="179" t="e">
        <f t="shared" si="64"/>
        <v>#DIV/0!</v>
      </c>
      <c r="J127" s="180"/>
      <c r="K127" s="180"/>
      <c r="L127" s="181"/>
      <c r="M127" s="153" t="s">
        <v>58</v>
      </c>
      <c r="N127" s="154"/>
      <c r="O127" s="155"/>
      <c r="P127" s="148"/>
      <c r="Q127" s="148"/>
      <c r="R127" s="148"/>
    </row>
  </sheetData>
  <mergeCells count="27">
    <mergeCell ref="G4:H4"/>
    <mergeCell ref="C122:H122"/>
    <mergeCell ref="C123:H123"/>
    <mergeCell ref="C127:H127"/>
    <mergeCell ref="C125:H125"/>
    <mergeCell ref="C126:H126"/>
    <mergeCell ref="C124:H124"/>
    <mergeCell ref="B88:C88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I127:L127"/>
    <mergeCell ref="I122:L122"/>
    <mergeCell ref="I123:L123"/>
    <mergeCell ref="I124:L124"/>
    <mergeCell ref="I125:L125"/>
    <mergeCell ref="I126:L126"/>
  </mergeCells>
  <phoneticPr fontId="3"/>
  <conditionalFormatting sqref="AA1:AJ17 C111:J114 AA128:AJ1048576 AA20:AJ116 AB18:AJ19">
    <cfRule type="expression" dxfId="12" priority="15" stopIfTrue="1">
      <formula>$A$2="出力なし"</formula>
    </cfRule>
  </conditionalFormatting>
  <conditionalFormatting sqref="AA31:AJ31">
    <cfRule type="expression" dxfId="11" priority="29" stopIfTrue="1">
      <formula>NOT(AA31="この表示値は、目安です。")</formula>
    </cfRule>
  </conditionalFormatting>
  <conditionalFormatting sqref="AG12:AI12 E111">
    <cfRule type="expression" dxfId="10" priority="27" stopIfTrue="1">
      <formula>NOT(E12="1個当たり")</formula>
    </cfRule>
  </conditionalFormatting>
  <conditionalFormatting sqref="AG27">
    <cfRule type="expression" dxfId="9" priority="26" stopIfTrue="1">
      <formula>IF(AND(COUNTIF($A$6,"&lt;&gt;*様*"),$AE$27&lt;5),TRUE,FALSE)</formula>
    </cfRule>
  </conditionalFormatting>
  <conditionalFormatting sqref="AG26">
    <cfRule type="expression" dxfId="8" priority="25" stopIfTrue="1">
      <formula>IF(AND(COUNTIF($A$6,"&lt;&gt;*様*"),$AG$13&lt;100,$AE$26&lt;0.3),TRUE,FALSE)</formula>
    </cfRule>
  </conditionalFormatting>
  <conditionalFormatting sqref="AE23">
    <cfRule type="expression" dxfId="7" priority="24" stopIfTrue="1">
      <formula>IF(OR($A$4="蒸し物",$G$4="和生菓子"),IF($AE$23&lt;30,TRUE,FALSE),FALSE)</formula>
    </cfRule>
  </conditionalFormatting>
  <conditionalFormatting sqref="Z25">
    <cfRule type="expression" dxfId="6" priority="10" stopIfTrue="1">
      <formula>COUNTIF($Z$25,"*1")</formula>
    </cfRule>
  </conditionalFormatting>
  <conditionalFormatting sqref="Z26">
    <cfRule type="expression" dxfId="5" priority="11" stopIfTrue="1">
      <formula>COUNTIF($Z$26,"*2")</formula>
    </cfRule>
  </conditionalFormatting>
  <conditionalFormatting sqref="Y26">
    <cfRule type="expression" dxfId="4" priority="9" stopIfTrue="1">
      <formula>COUNTIF($Y$26,"*3")</formula>
    </cfRule>
  </conditionalFormatting>
  <conditionalFormatting sqref="AA117:AJ127">
    <cfRule type="expression" dxfId="3" priority="4" stopIfTrue="1">
      <formula>$A$2="出力なし"</formula>
    </cfRule>
  </conditionalFormatting>
  <conditionalFormatting sqref="C117">
    <cfRule type="expression" dxfId="2" priority="3" stopIfTrue="1">
      <formula>$A$2="出力なし"</formula>
    </cfRule>
  </conditionalFormatting>
  <conditionalFormatting sqref="AO117:AX127">
    <cfRule type="expression" dxfId="1" priority="2" stopIfTrue="1">
      <formula>$A$2="出力なし"</formula>
    </cfRule>
  </conditionalFormatting>
  <conditionalFormatting sqref="AA18:AA19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Clear104">
          <controlPr defaultSize="0" autoLine="0" r:id="rId5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28575</xdr:rowOff>
              </to>
            </anchor>
          </controlPr>
        </control>
      </mc:Choice>
      <mc:Fallback>
        <control shapeId="1028" r:id="rId4" name="cmdClear104"/>
      </mc:Fallback>
    </mc:AlternateContent>
    <mc:AlternateContent xmlns:mc="http://schemas.openxmlformats.org/markup-compatibility/2006">
      <mc:Choice Requires="x14">
        <control shapeId="1027" r:id="rId6" name="cmdCopy104">
          <controlPr defaultSize="0" autoLine="0" r:id="rId7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28575</xdr:rowOff>
              </to>
            </anchor>
          </controlPr>
        </control>
      </mc:Choice>
      <mc:Fallback>
        <control shapeId="1027" r:id="rId6" name="cmdCopy104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5" r:id="rId10" name="cmdCopy87">
          <controlPr defaultSize="0" autoLine="0" r:id="rId11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025" r:id="rId10" name="cmdCopy87"/>
      </mc:Fallback>
    </mc:AlternateContent>
    <mc:AlternateContent xmlns:mc="http://schemas.openxmlformats.org/markup-compatibility/2006">
      <mc:Choice Requires="x14">
        <control shapeId="1029" r:id="rId12" name="cmdCopy">
          <controlPr defaultSize="0" print="0" autoLine="0" autoPict="0" r:id="rId13">
            <anchor moveWithCells="1">
              <from>
                <xdr:col>41</xdr:col>
                <xdr:colOff>104775</xdr:colOff>
                <xdr:row>3</xdr:row>
                <xdr:rowOff>0</xdr:rowOff>
              </from>
              <to>
                <xdr:col>43</xdr:col>
                <xdr:colOff>333375</xdr:colOff>
                <xdr:row>5</xdr:row>
                <xdr:rowOff>0</xdr:rowOff>
              </to>
            </anchor>
          </controlPr>
        </control>
      </mc:Choice>
      <mc:Fallback>
        <control shapeId="1029" r:id="rId12" name="cmdCop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2026-05-18T05:01:48Z</dcterms:modified>
</cp:coreProperties>
</file>