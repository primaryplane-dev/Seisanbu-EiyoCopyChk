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 activeTab="1"/>
  </bookViews>
  <sheets>
    <sheet name="食物繊維入り" sheetId="15" r:id="rId1"/>
    <sheet name="皮" sheetId="27" r:id="rId2"/>
  </sheets>
  <definedNames>
    <definedName name="_xlnm.Print_Area" localSheetId="0">食物繊維入り!$AA$2:$AJ$41</definedName>
    <definedName name="_xlnm.Print_Area" localSheetId="1">皮!$AA$2:$AJ$41</definedName>
  </definedNames>
  <calcPr calcId="145621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D99" i="27"/>
  <c r="B99" i="27"/>
  <c r="I99" i="27" s="1"/>
  <c r="A99" i="27"/>
  <c r="H98" i="27"/>
  <c r="D98" i="27"/>
  <c r="C98" i="27"/>
  <c r="B98" i="27"/>
  <c r="I98" i="27" s="1"/>
  <c r="A98" i="27"/>
  <c r="L97" i="27"/>
  <c r="B97" i="27"/>
  <c r="I97" i="27" s="1"/>
  <c r="A97" i="27"/>
  <c r="B96" i="27"/>
  <c r="I96" i="27" s="1"/>
  <c r="A96" i="27"/>
  <c r="L95" i="27"/>
  <c r="D95" i="27"/>
  <c r="B95" i="27"/>
  <c r="I95" i="27" s="1"/>
  <c r="A95" i="27"/>
  <c r="L94" i="27"/>
  <c r="B94" i="27"/>
  <c r="I94" i="27" s="1"/>
  <c r="A94" i="27"/>
  <c r="L93" i="27"/>
  <c r="H93" i="27"/>
  <c r="D93" i="27"/>
  <c r="B93" i="27"/>
  <c r="I93" i="27" s="1"/>
  <c r="A93" i="27"/>
  <c r="L92" i="27"/>
  <c r="H92" i="27"/>
  <c r="D92" i="27"/>
  <c r="B92" i="27"/>
  <c r="I92" i="27" s="1"/>
  <c r="A92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H99" i="27" l="1"/>
  <c r="D91" i="27"/>
  <c r="H91" i="27"/>
  <c r="D96" i="27"/>
  <c r="G98" i="27"/>
  <c r="H96" i="27"/>
  <c r="D94" i="27"/>
  <c r="L96" i="27"/>
  <c r="K98" i="27"/>
  <c r="L91" i="27"/>
  <c r="H94" i="27"/>
  <c r="L98" i="27"/>
  <c r="D97" i="27"/>
  <c r="H97" i="27"/>
  <c r="C99" i="27"/>
  <c r="B100" i="27"/>
  <c r="B102" i="27" s="1"/>
  <c r="AG13" i="27" s="1"/>
  <c r="AG22" i="27" s="1"/>
  <c r="H95" i="27"/>
  <c r="G99" i="27"/>
  <c r="H90" i="27"/>
  <c r="D90" i="27"/>
  <c r="D102" i="27" s="1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AG23" i="27" l="1"/>
  <c r="AG19" i="27"/>
  <c r="AG24" i="27"/>
  <c r="AG27" i="27"/>
  <c r="D103" i="27"/>
  <c r="D100" i="27"/>
  <c r="AG16" i="27"/>
  <c r="E113" i="27" s="1"/>
  <c r="L102" i="27"/>
  <c r="L103" i="27" s="1"/>
  <c r="AG25" i="27"/>
  <c r="H113" i="27" s="1"/>
  <c r="H102" i="27"/>
  <c r="H103" i="27" s="1"/>
  <c r="AG26" i="27"/>
  <c r="Z26" i="27" s="1"/>
  <c r="AG15" i="27"/>
  <c r="D113" i="27" s="1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C100" i="27"/>
  <c r="C102" i="27" s="1"/>
  <c r="C103" i="27" s="1"/>
  <c r="C106" i="15"/>
  <c r="Z25" i="27" l="1"/>
  <c r="B86" i="27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E103" i="15" l="1"/>
  <c r="H103" i="15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s="1"/>
  <c r="F90" i="15" s="1"/>
  <c r="F102" i="15" s="1"/>
  <c r="F103" i="15" s="1"/>
  <c r="J113" i="15" l="1"/>
  <c r="H113" i="15"/>
  <c r="B103" i="15"/>
  <c r="F104" i="15" s="1"/>
  <c r="B104" i="15" s="1"/>
  <c r="I113" i="15"/>
  <c r="AK20" i="15"/>
  <c r="AE20" i="15"/>
  <c r="B87" i="15"/>
  <c r="F100" i="15"/>
  <c r="AG20" i="15"/>
  <c r="G113" i="15" s="1"/>
  <c r="F106" i="15" l="1"/>
  <c r="AE17" i="15" s="1"/>
  <c r="C108" i="15"/>
  <c r="AE14" i="15" s="1"/>
  <c r="AE18" i="15"/>
  <c r="AG18" i="15" s="1"/>
  <c r="K113" i="15" s="1"/>
  <c r="AG17" i="15" l="1"/>
  <c r="F113" i="15" s="1"/>
  <c r="AG14" i="15"/>
  <c r="C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<sst xmlns="http://schemas.openxmlformats.org/spreadsheetml/2006/main" count="327" uniqueCount="118">
  <si>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</si>
  <si>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</si>
  <si>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</si>
  <si>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</si>
  <si>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</si>
  <si>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</si>
  <si>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</si>
  <si>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</si>
  <si>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</si>
  <si>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</si>
  <si>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</si>
  <si>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</si>
  <si>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</si>
  <si>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</si>
  <si>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</si>
  <si>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</si>
  <si>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</si>
  <si>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</si>
  <si>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</si>
  <si>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</si>
  <si>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</si>
  <si>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</si>
  <si>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</si>
  <si>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</si>
  <si>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</si>
  <si>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</si>
  <si>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</si>
  <si>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</si>
  <si>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</si>
  <si>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</si>
  <si>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</si>
  <si>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</si>
  <si>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</si>
  <si>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</si>
  <si>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</si>
  <si>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</si>
  <si>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</si>
  <si>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</si>
  <si>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</si>
  <si>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</si>
  <si>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</si>
  <si>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</si>
  <si>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</si>
  <si>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</si>
  <si>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</si>
  <si>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</si>
  <si>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</si>
  <si>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</si>
  <si>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</si>
  <si>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</si>
  <si>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</si>
  <si>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</si>
  <si>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</si>
  <si>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</si>
  <si>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</si>
  <si>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</si>
  <si>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</si>
  <si>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</si>
  <si>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</si>
  <si>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</si>
  <si>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</si>
  <si>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</si>
  <si>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</si>
  <si>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</si>
  <si>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</si>
  <si>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</si>
  <si>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</si>
  <si>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</si>
  <si>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</si>
  <si>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</si>
  <si>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</si>
  <si>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</si>
  <si>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</si>
  <si>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</si>
  <si>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</si>
  <si>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</si>
  <si>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</si>
  <si>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</si>
  <si>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</si>
  <si>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</si>
  <si>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</si>
  <si>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</si>
  <si>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</si>
  <si>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</si>
  <si>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</si>
  <si>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</si>
  <si>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</si>
  <si>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</si>
  <si>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</si>
  <si>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</si>
  <si>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</si>
  <si>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</si>
  <si>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</si>
  <si>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</si>
  <si>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</si>
  <si>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</si>
  <si>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</si>
  <si>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</si>
  <si>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</si>
  <si>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</si>
  <si>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</si>
  <si>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</si>
  <si>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</si>
  <si>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</si>
  <si>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</si>
  <si>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</si>
  <si>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</si>
  <si>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</si>
  <si>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</si>
  <si>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</si>
  <si>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</si>
  <si>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</si>
  <si>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</si>
  <si>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</si>
  <si>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</si>
  <si>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菓子ﾊﾟﾝ</t>
  </si>
  <si>
    <t>2026年4月21日</t>
    <phoneticPr fontId="5"/>
  </si>
  <si>
    <t>出力なし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</si>
</sst>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</cellStyleXfs>
  <cellXfs count="178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  <xf numFmtId="176" fontId="6" fillId="0" borderId="2" xfId="3" applyNumberFormat="1" applyFont="1" applyFill="1" applyBorder="1" applyProtection="1">
      <protection locked="0"/>
    </xf>
    <xf numFmtId="176" fontId="6" fillId="0" borderId="13" xfId="3" applyNumberFormat="1" applyFont="1" applyFill="1" applyBorder="1" applyProtection="1">
      <protection locked="0"/>
    </xf>
    <xf numFmtId="176" fontId="6" fillId="0" borderId="15" xfId="3" applyNumberFormat="1" applyFont="1" applyFill="1" applyBorder="1" applyProtection="1">
      <protection locked="0"/>
    </xf>
    <xf numFmtId="1" fontId="6" fillId="0" borderId="15" xfId="3" applyNumberFormat="1" applyFont="1" applyFill="1" applyBorder="1" applyProtection="1">
      <protection locked="0"/>
    </xf>
    <xf numFmtId="2" fontId="6" fillId="0" borderId="15" xfId="3" applyNumberFormat="1" applyFont="1" applyFill="1" applyBorder="1" applyProtection="1">
      <protection locked="0"/>
    </xf>
    <xf numFmtId="177" fontId="6" fillId="0" borderId="2" xfId="3" applyNumberFormat="1" applyFont="1" applyFill="1" applyBorder="1" applyProtection="1">
      <protection locked="0"/>
    </xf>
  </cellXfs>
  <cellStyles count="5"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23132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15127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46" transitionEvaluation="1" codeName="Sheet29">
    <pageSetUpPr fitToPage="1"/>
  </sheetPr>
  <dimension ref="A1:AK120"/>
  <sheetViews>
    <sheetView showGridLines="0" topLeftCell="A46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6" t="s">
        <v>76</v>
      </c>
    </row>
    <row r="2" spans="1:37" x14ac:dyDescent="0.2">
      <c r="A2" s="123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81</v>
      </c>
      <c r="B4" s="2"/>
      <c r="C4" s="2"/>
      <c r="D4" s="2"/>
      <c r="E4" s="2"/>
      <c r="F4" s="159" t="s">
        <v>82</v>
      </c>
      <c r="G4" s="160" t="s">
        <v>115</v>
      </c>
      <c r="H4" s="16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64" t="s">
        <v>1</v>
      </c>
      <c r="B5" s="164"/>
      <c r="C5" s="164"/>
      <c r="D5" s="164"/>
      <c r="E5" s="164"/>
      <c r="F5" s="126" t="s">
        <v>68</v>
      </c>
      <c r="G5" s="126" t="s">
        <v>69</v>
      </c>
      <c r="H5" s="126" t="s">
        <v>70</v>
      </c>
      <c r="I5" s="158" t="s">
        <v>116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">
      <c r="A6" s="165" t="s">
        <v>108</v>
      </c>
      <c r="B6" s="166"/>
      <c r="C6" s="166"/>
      <c r="D6" s="166"/>
      <c r="E6" s="167"/>
      <c r="F6" s="127" t="s">
        <v>109</v>
      </c>
      <c r="G6" s="128" t="s">
        <v>110</v>
      </c>
      <c r="H6" s="129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30" t="s">
        <v>2</v>
      </c>
      <c r="B7" s="131" t="s">
        <v>3</v>
      </c>
      <c r="C7" s="131" t="s">
        <v>4</v>
      </c>
      <c r="D7" s="131" t="s">
        <v>5</v>
      </c>
      <c r="E7" s="131" t="s">
        <v>6</v>
      </c>
      <c r="F7" s="131" t="s">
        <v>7</v>
      </c>
      <c r="G7" s="131" t="s">
        <v>8</v>
      </c>
      <c r="H7" s="131" t="s">
        <v>9</v>
      </c>
      <c r="I7" s="132" t="s">
        <v>10</v>
      </c>
      <c r="J7" s="133" t="s">
        <v>11</v>
      </c>
      <c r="K7" s="134" t="s">
        <v>12</v>
      </c>
      <c r="L7" s="135" t="s">
        <v>42</v>
      </c>
      <c r="AA7" s="16" t="s">
        <v>14</v>
      </c>
      <c r="AB7" s="168" t="str">
        <f>IF(COUNTIF($F$6,"1"),CONCATENATE($A$6,"(",$H$6,")"),CONCATENATE($A$6,$F$6,$G$6,"入","(",$H$6,")"))</f>
        <v>焼きいも一本(東京)</v>
      </c>
      <c r="AC7" s="168"/>
      <c r="AD7" s="168"/>
      <c r="AE7" s="168"/>
      <c r="AF7" s="168"/>
      <c r="AG7" s="168"/>
      <c r="AH7" s="168"/>
      <c r="AI7" s="168"/>
      <c r="AJ7" s="5"/>
    </row>
    <row r="8" spans="1:37" x14ac:dyDescent="0.2">
      <c r="A8" s="107" t="s">
        <v>85</v>
      </c>
      <c r="B8" s="108">
        <v>80</v>
      </c>
      <c r="C8" s="109">
        <v>14.4</v>
      </c>
      <c r="D8" s="109">
        <v>11.6</v>
      </c>
      <c r="E8" s="109">
        <v>1.5</v>
      </c>
      <c r="F8" s="109">
        <v>69.34</v>
      </c>
      <c r="G8" s="109">
        <v>2.7</v>
      </c>
      <c r="H8" s="109">
        <v>0.46</v>
      </c>
      <c r="I8" s="109"/>
      <c r="J8" s="109"/>
      <c r="K8" s="109">
        <v>0.35</v>
      </c>
      <c r="L8" s="109">
        <v>0</v>
      </c>
      <c r="M8" s="4">
        <f>SUM(C8:H8)</f>
        <v>100</v>
      </c>
      <c r="AB8" s="5" t="s">
        <v>65</v>
      </c>
      <c r="AJ8" s="5"/>
    </row>
    <row r="9" spans="1:37" x14ac:dyDescent="0.2">
      <c r="A9" s="107" t="s">
        <v>86</v>
      </c>
      <c r="B9" s="108">
        <v>10</v>
      </c>
      <c r="C9" s="109">
        <v>14.4</v>
      </c>
      <c r="D9" s="109">
        <v>12</v>
      </c>
      <c r="E9" s="109">
        <v>2</v>
      </c>
      <c r="F9" s="109">
        <v>50.8</v>
      </c>
      <c r="G9" s="109">
        <v>20.3</v>
      </c>
      <c r="H9" s="109">
        <v>0.5</v>
      </c>
      <c r="I9" s="109">
        <v>1</v>
      </c>
      <c r="J9" s="109"/>
      <c r="K9" s="109">
        <v>0.4</v>
      </c>
      <c r="L9" s="109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7" t="s">
        <v>87</v>
      </c>
      <c r="B10" s="108">
        <v>10</v>
      </c>
      <c r="C10" s="109">
        <v>14.5</v>
      </c>
      <c r="D10" s="109">
        <v>8</v>
      </c>
      <c r="E10" s="109">
        <v>1.5</v>
      </c>
      <c r="F10" s="109">
        <v>73.099999999999994</v>
      </c>
      <c r="G10" s="109">
        <v>2.5</v>
      </c>
      <c r="H10" s="109">
        <v>0.4</v>
      </c>
      <c r="I10" s="109">
        <v>0</v>
      </c>
      <c r="J10" s="109">
        <v>0</v>
      </c>
      <c r="K10" s="109">
        <v>0.34</v>
      </c>
      <c r="L10" s="109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7" t="s">
        <v>88</v>
      </c>
      <c r="B11" s="108">
        <v>4</v>
      </c>
      <c r="C11" s="109">
        <v>68.099999999999994</v>
      </c>
      <c r="D11" s="109">
        <v>16.5</v>
      </c>
      <c r="E11" s="109">
        <v>1.5</v>
      </c>
      <c r="F11" s="109">
        <v>1.8</v>
      </c>
      <c r="G11" s="109">
        <v>10.3</v>
      </c>
      <c r="H11" s="109">
        <v>1.8</v>
      </c>
      <c r="I11" s="109">
        <v>39</v>
      </c>
      <c r="J11" s="109">
        <v>0</v>
      </c>
      <c r="K11" s="109">
        <v>0.19</v>
      </c>
      <c r="L11" s="109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7" t="s">
        <v>89</v>
      </c>
      <c r="B12" s="108">
        <v>0.1</v>
      </c>
      <c r="C12" s="109">
        <v>4.9000000000000004</v>
      </c>
      <c r="D12" s="109">
        <v>3.6</v>
      </c>
      <c r="E12" s="109">
        <v>3.2</v>
      </c>
      <c r="F12" s="109">
        <v>21.7</v>
      </c>
      <c r="G12" s="109">
        <v>0</v>
      </c>
      <c r="H12" s="109">
        <v>66.599999999999994</v>
      </c>
      <c r="I12" s="109">
        <v>7830</v>
      </c>
      <c r="J12" s="109">
        <v>0</v>
      </c>
      <c r="K12" s="109">
        <v>2.15</v>
      </c>
      <c r="L12" s="109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69" t="s">
        <v>59</v>
      </c>
      <c r="AG12" s="171" t="str">
        <f>"1"&amp;$G$6&amp;"当たり"</f>
        <v>1個当たり</v>
      </c>
      <c r="AH12" s="171"/>
      <c r="AI12" s="171"/>
      <c r="AJ12" s="18"/>
      <c r="AK12" s="163" t="s">
        <v>45</v>
      </c>
    </row>
    <row r="13" spans="1:37" ht="24.75" x14ac:dyDescent="0.25">
      <c r="A13" s="107" t="s">
        <v>90</v>
      </c>
      <c r="B13" s="108">
        <v>1.8</v>
      </c>
      <c r="C13" s="109">
        <v>0.01</v>
      </c>
      <c r="D13" s="109">
        <v>0</v>
      </c>
      <c r="E13" s="109">
        <v>0</v>
      </c>
      <c r="F13" s="109">
        <v>0</v>
      </c>
      <c r="G13" s="109">
        <v>0</v>
      </c>
      <c r="H13" s="109">
        <v>99.99</v>
      </c>
      <c r="I13" s="109">
        <v>39331</v>
      </c>
      <c r="J13" s="109">
        <v>0</v>
      </c>
      <c r="K13" s="109">
        <v>0</v>
      </c>
      <c r="L13" s="109">
        <v>0</v>
      </c>
      <c r="M13" s="4">
        <f t="shared" si="0"/>
        <v>100</v>
      </c>
      <c r="AA13" s="5"/>
      <c r="AB13" s="5"/>
      <c r="AC13" s="5"/>
      <c r="AD13" s="19"/>
      <c r="AE13" s="170"/>
      <c r="AF13" s="17"/>
      <c r="AG13" s="153">
        <f>IF((COUNTIF($A$6,"*7P*")+COUNTIF($A$6,"*ｾﾌﾞﾝﾌﾟﾚﾐｱﾑ*")),$B$106,ROUND($B$102,0))</f>
        <v>103</v>
      </c>
      <c r="AH13" s="21" t="s">
        <v>16</v>
      </c>
      <c r="AI13" s="20"/>
      <c r="AJ13" s="22"/>
      <c r="AK13" s="163"/>
    </row>
    <row r="14" spans="1:37" s="23" customFormat="1" ht="22.5" x14ac:dyDescent="0.25">
      <c r="A14" s="107" t="s">
        <v>91</v>
      </c>
      <c r="B14" s="108">
        <v>18</v>
      </c>
      <c r="C14" s="109">
        <v>0.7</v>
      </c>
      <c r="D14" s="109">
        <v>0</v>
      </c>
      <c r="E14" s="109">
        <v>0</v>
      </c>
      <c r="F14" s="109">
        <v>99.3</v>
      </c>
      <c r="G14" s="109"/>
      <c r="H14" s="109">
        <v>0</v>
      </c>
      <c r="I14" s="109">
        <v>1</v>
      </c>
      <c r="J14" s="109"/>
      <c r="K14" s="109"/>
      <c r="L14" s="109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325</v>
      </c>
      <c r="AF14" s="28"/>
      <c r="AG14" s="27">
        <f>ROUND((AG15+AG18)*4+(AG16*9)+(AG19*2),0)</f>
        <v>335</v>
      </c>
      <c r="AH14" s="26" t="s">
        <v>50</v>
      </c>
      <c r="AI14" s="29"/>
      <c r="AJ14" s="25"/>
      <c r="AK14" s="106">
        <v>0</v>
      </c>
    </row>
    <row r="15" spans="1:37" ht="22.5" x14ac:dyDescent="0.25">
      <c r="A15" s="107" t="s">
        <v>92</v>
      </c>
      <c r="B15" s="108">
        <v>3</v>
      </c>
      <c r="C15" s="109">
        <v>40.4</v>
      </c>
      <c r="D15" s="109">
        <v>0</v>
      </c>
      <c r="E15" s="109">
        <v>28.5</v>
      </c>
      <c r="F15" s="109">
        <v>31.1</v>
      </c>
      <c r="G15" s="109">
        <v>0</v>
      </c>
      <c r="H15" s="109">
        <v>0</v>
      </c>
      <c r="I15" s="109">
        <v>4</v>
      </c>
      <c r="J15" s="109">
        <v>0.1</v>
      </c>
      <c r="K15" s="109">
        <v>12.75</v>
      </c>
      <c r="L15" s="109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6.8</v>
      </c>
      <c r="AF15" s="28"/>
      <c r="AG15" s="29">
        <f>ROUND(($AG$13*AE15)/100,1)</f>
        <v>7</v>
      </c>
      <c r="AH15" s="26" t="s">
        <v>60</v>
      </c>
      <c r="AI15" s="29"/>
      <c r="AJ15" s="31"/>
      <c r="AK15" s="106">
        <v>1</v>
      </c>
    </row>
    <row r="16" spans="1:37" ht="22.5" x14ac:dyDescent="0.25">
      <c r="A16" s="107" t="s">
        <v>93</v>
      </c>
      <c r="B16" s="108">
        <v>7</v>
      </c>
      <c r="C16" s="109">
        <v>16.5</v>
      </c>
      <c r="D16" s="109">
        <v>0</v>
      </c>
      <c r="E16" s="109">
        <v>83.2</v>
      </c>
      <c r="F16" s="109">
        <v>0</v>
      </c>
      <c r="G16" s="109">
        <v>0</v>
      </c>
      <c r="H16" s="109">
        <v>0.3</v>
      </c>
      <c r="I16" s="109">
        <v>118</v>
      </c>
      <c r="J16" s="109">
        <v>0.8</v>
      </c>
      <c r="K16" s="109">
        <v>31.1</v>
      </c>
      <c r="L16" s="109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6.4</v>
      </c>
      <c r="AF16" s="28"/>
      <c r="AG16" s="29">
        <f>ROUND(($AG$13*AE16)/100,1)</f>
        <v>6.6</v>
      </c>
      <c r="AH16" s="26" t="s">
        <v>60</v>
      </c>
      <c r="AI16" s="29"/>
      <c r="AJ16" s="31"/>
      <c r="AK16" s="106">
        <v>1</v>
      </c>
    </row>
    <row r="17" spans="1:37" ht="22.5" x14ac:dyDescent="0.25">
      <c r="A17" s="107" t="s">
        <v>94</v>
      </c>
      <c r="B17" s="108">
        <v>1</v>
      </c>
      <c r="C17" s="109">
        <v>26.3</v>
      </c>
      <c r="D17" s="109">
        <v>0.1</v>
      </c>
      <c r="E17" s="109">
        <v>12.7</v>
      </c>
      <c r="F17" s="109">
        <v>60.9</v>
      </c>
      <c r="G17" s="109">
        <v>0</v>
      </c>
      <c r="H17" s="109">
        <v>0</v>
      </c>
      <c r="I17" s="109">
        <v>25</v>
      </c>
      <c r="J17" s="109">
        <v>0.03</v>
      </c>
      <c r="K17" s="109">
        <v>6.69</v>
      </c>
      <c r="L17" s="109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61.599999999999994</v>
      </c>
      <c r="AF17" s="28"/>
      <c r="AG17" s="29">
        <f>AG18+AG19</f>
        <v>63.400000000000006</v>
      </c>
      <c r="AH17" s="26" t="s">
        <v>60</v>
      </c>
      <c r="AI17" s="29"/>
      <c r="AJ17" s="31"/>
      <c r="AK17" s="106">
        <v>1</v>
      </c>
    </row>
    <row r="18" spans="1:37" ht="22.5" x14ac:dyDescent="0.25">
      <c r="A18" s="107" t="s">
        <v>73</v>
      </c>
      <c r="B18" s="108">
        <v>2</v>
      </c>
      <c r="C18" s="109">
        <v>5.4</v>
      </c>
      <c r="D18" s="109">
        <v>14.1</v>
      </c>
      <c r="E18" s="109">
        <v>1.4</v>
      </c>
      <c r="F18" s="109">
        <v>76.2</v>
      </c>
      <c r="G18" s="109">
        <v>0.9</v>
      </c>
      <c r="H18" s="109">
        <v>2</v>
      </c>
      <c r="I18" s="109">
        <v>124</v>
      </c>
      <c r="J18" s="109">
        <v>0</v>
      </c>
      <c r="K18" s="109">
        <v>0.4</v>
      </c>
      <c r="L18" s="109">
        <v>0</v>
      </c>
      <c r="M18" s="4">
        <f t="shared" si="0"/>
        <v>100</v>
      </c>
      <c r="AA18" s="154" t="s">
        <v>78</v>
      </c>
      <c r="AB18" s="31"/>
      <c r="AC18" s="26"/>
      <c r="AD18" s="26"/>
      <c r="AE18" s="152">
        <f>$F$104</f>
        <v>58.399999999999991</v>
      </c>
      <c r="AF18" s="146"/>
      <c r="AG18" s="152">
        <f>ROUND(($AG$13*AE18)/100,1)</f>
        <v>60.2</v>
      </c>
      <c r="AH18" s="26" t="s">
        <v>60</v>
      </c>
      <c r="AI18" s="34"/>
      <c r="AJ18" s="31"/>
      <c r="AK18" s="106">
        <v>1</v>
      </c>
    </row>
    <row r="19" spans="1:37" ht="22.5" x14ac:dyDescent="0.25">
      <c r="A19" s="107" t="s">
        <v>95</v>
      </c>
      <c r="B19" s="108">
        <v>8</v>
      </c>
      <c r="C19" s="109">
        <v>83.1</v>
      </c>
      <c r="D19" s="109">
        <v>9.6</v>
      </c>
      <c r="E19" s="109">
        <v>5.4</v>
      </c>
      <c r="F19" s="109">
        <v>0.4</v>
      </c>
      <c r="G19" s="109">
        <v>0</v>
      </c>
      <c r="H19" s="109">
        <v>0.7</v>
      </c>
      <c r="I19" s="109">
        <v>130</v>
      </c>
      <c r="J19" s="109">
        <v>0</v>
      </c>
      <c r="K19" s="109">
        <v>1.65</v>
      </c>
      <c r="L19" s="109">
        <v>196</v>
      </c>
      <c r="M19" s="4">
        <f t="shared" si="0"/>
        <v>99.2</v>
      </c>
      <c r="N19" s="4" t="s">
        <v>96</v>
      </c>
      <c r="AA19" s="155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6">
        <v>1</v>
      </c>
    </row>
    <row r="20" spans="1:37" ht="22.5" x14ac:dyDescent="0.25">
      <c r="A20" s="107" t="s">
        <v>97</v>
      </c>
      <c r="B20" s="108">
        <v>0.4</v>
      </c>
      <c r="C20" s="109">
        <v>70.900000000000006</v>
      </c>
      <c r="D20" s="109">
        <v>9.1999999999999993</v>
      </c>
      <c r="E20" s="109">
        <v>3.5</v>
      </c>
      <c r="F20" s="109">
        <v>14.3</v>
      </c>
      <c r="G20" s="109">
        <v>0</v>
      </c>
      <c r="H20" s="109">
        <v>2.1</v>
      </c>
      <c r="I20" s="109">
        <v>123</v>
      </c>
      <c r="J20" s="109">
        <v>0.16</v>
      </c>
      <c r="K20" s="109">
        <v>2.2999999999999998</v>
      </c>
      <c r="L20" s="109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5">
        <f>IF($AE$22&lt;4.5,0,ROUND($AE$22/1000*2.54,2))</f>
        <v>0.61</v>
      </c>
      <c r="AF20" s="28"/>
      <c r="AG20" s="145">
        <f>IF($AE$22&lt;4.5,0,ROUND($AG$22/1000*2.54,2))</f>
        <v>0.63</v>
      </c>
      <c r="AH20" s="26" t="s">
        <v>60</v>
      </c>
      <c r="AI20" s="27"/>
      <c r="AJ20" s="31"/>
      <c r="AK20" s="106">
        <f>IF($AE$22&lt;4.5,0,2)</f>
        <v>2</v>
      </c>
    </row>
    <row r="21" spans="1:37" ht="22.5" x14ac:dyDescent="0.25">
      <c r="A21" s="107" t="s">
        <v>98</v>
      </c>
      <c r="B21" s="108">
        <v>1</v>
      </c>
      <c r="C21" s="109">
        <v>6.1</v>
      </c>
      <c r="D21" s="109">
        <v>72.5</v>
      </c>
      <c r="E21" s="109">
        <v>5.3</v>
      </c>
      <c r="F21" s="109">
        <v>13.5</v>
      </c>
      <c r="G21" s="109">
        <v>1.7</v>
      </c>
      <c r="H21" s="109">
        <v>0.9</v>
      </c>
      <c r="I21" s="109">
        <v>105</v>
      </c>
      <c r="J21" s="109">
        <v>0.1</v>
      </c>
      <c r="K21" s="109">
        <v>1</v>
      </c>
      <c r="L21" s="109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7" t="s">
        <v>99</v>
      </c>
      <c r="B22" s="108">
        <v>0.2</v>
      </c>
      <c r="C22" s="109">
        <v>9.6</v>
      </c>
      <c r="D22" s="109">
        <v>32.299999999999997</v>
      </c>
      <c r="E22" s="109">
        <v>0.6</v>
      </c>
      <c r="F22" s="109">
        <v>55</v>
      </c>
      <c r="G22" s="109">
        <v>1.8</v>
      </c>
      <c r="H22" s="109">
        <v>0.7</v>
      </c>
      <c r="I22" s="109">
        <v>130</v>
      </c>
      <c r="J22" s="109">
        <v>0</v>
      </c>
      <c r="K22" s="109">
        <v>0.5</v>
      </c>
      <c r="L22" s="109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242</v>
      </c>
      <c r="AF22" s="28"/>
      <c r="AG22" s="27">
        <f>ROUND(($AG$13*AE22)/100,0)</f>
        <v>249</v>
      </c>
      <c r="AH22" s="26" t="s">
        <v>61</v>
      </c>
      <c r="AI22" s="39"/>
      <c r="AJ22" s="37"/>
    </row>
    <row r="23" spans="1:37" ht="22.5" x14ac:dyDescent="0.25">
      <c r="A23" s="107" t="s">
        <v>100</v>
      </c>
      <c r="B23" s="108">
        <v>0.4</v>
      </c>
      <c r="C23" s="109">
        <v>0.38</v>
      </c>
      <c r="D23" s="109">
        <v>0.03</v>
      </c>
      <c r="E23" s="109">
        <v>0.65</v>
      </c>
      <c r="F23" s="109">
        <v>53.74</v>
      </c>
      <c r="G23" s="109">
        <v>0</v>
      </c>
      <c r="H23" s="109">
        <v>45.2</v>
      </c>
      <c r="I23" s="109">
        <v>19600</v>
      </c>
      <c r="J23" s="109">
        <v>0</v>
      </c>
      <c r="K23" s="109">
        <v>0.5</v>
      </c>
      <c r="L23" s="109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24.3</v>
      </c>
      <c r="AF23" s="147"/>
      <c r="AG23" s="40">
        <f>ROUND(($AG$13*AE23)/100,1)</f>
        <v>25</v>
      </c>
      <c r="AH23" s="38" t="s">
        <v>60</v>
      </c>
      <c r="AI23" s="34"/>
      <c r="AJ23" s="31"/>
    </row>
    <row r="24" spans="1:37" ht="22.5" x14ac:dyDescent="0.25">
      <c r="A24" s="107"/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7"/>
      <c r="AG24" s="40">
        <f>ROUND(($AG$13*AE24)/100,1)</f>
        <v>0.9</v>
      </c>
      <c r="AH24" s="38" t="s">
        <v>60</v>
      </c>
      <c r="AI24" s="34"/>
      <c r="AJ24" s="31"/>
    </row>
    <row r="25" spans="1:37" ht="22.7" customHeight="1" x14ac:dyDescent="0.25">
      <c r="A25" s="107"/>
      <c r="B25" s="108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5">
        <f>$K$104</f>
        <v>2.2799999999999998</v>
      </c>
      <c r="AF25" s="43"/>
      <c r="AG25" s="145">
        <f>ROUND(($AG$13*AE25)/100,2)</f>
        <v>2.35</v>
      </c>
      <c r="AH25" s="26" t="s">
        <v>60</v>
      </c>
      <c r="AI25" s="34"/>
      <c r="AJ25" s="31"/>
      <c r="AK25" s="106">
        <v>2</v>
      </c>
    </row>
    <row r="26" spans="1:37" ht="22.5" x14ac:dyDescent="0.25">
      <c r="A26" s="107"/>
      <c r="B26" s="108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4">
        <f t="shared" si="1"/>
        <v>0</v>
      </c>
      <c r="Z26" s="137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5">
        <f>$J$104</f>
        <v>0.05</v>
      </c>
      <c r="AF26" s="44"/>
      <c r="AG26" s="145">
        <f>ROUND(($AG$13*AE26)/100,2)</f>
        <v>0.05</v>
      </c>
      <c r="AH26" s="26" t="s">
        <v>60</v>
      </c>
      <c r="AI26" s="34"/>
      <c r="AJ26" s="31"/>
      <c r="AK26" s="106">
        <v>2</v>
      </c>
    </row>
    <row r="27" spans="1:37" ht="22.5" x14ac:dyDescent="0.25">
      <c r="A27" s="107"/>
      <c r="B27" s="108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9</v>
      </c>
      <c r="AF27" s="44"/>
      <c r="AG27" s="27">
        <f>ROUND(($AG$13*AE27)/100,0)</f>
        <v>9</v>
      </c>
      <c r="AH27" s="26" t="s">
        <v>61</v>
      </c>
      <c r="AI27" s="34"/>
      <c r="AJ27" s="31"/>
      <c r="AK27" s="106">
        <v>0</v>
      </c>
    </row>
    <row r="28" spans="1:37" x14ac:dyDescent="0.2">
      <c r="A28" s="107"/>
      <c r="B28" s="108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4">
        <f>SUM(C28:H28)</f>
        <v>0</v>
      </c>
    </row>
    <row r="29" spans="1:37" x14ac:dyDescent="0.2">
      <c r="A29" s="107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4">
        <f>SUM(C29:H29)</f>
        <v>0</v>
      </c>
      <c r="O29" s="47"/>
      <c r="P29" s="48"/>
    </row>
    <row r="30" spans="1:37" x14ac:dyDescent="0.2">
      <c r="A30" s="107"/>
      <c r="B30" s="108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4">
        <f>SUM(C30:H30)</f>
        <v>0</v>
      </c>
      <c r="O30" s="50"/>
      <c r="P30" s="48"/>
    </row>
    <row r="31" spans="1:37" ht="18" x14ac:dyDescent="0.2">
      <c r="A31" s="107"/>
      <c r="B31" s="108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4">
        <f>SUM(C31:H31)</f>
        <v>0</v>
      </c>
      <c r="N31" s="46"/>
      <c r="P31" s="48"/>
      <c r="AA31" s="162" t="s">
        <v>67</v>
      </c>
      <c r="AB31" s="162"/>
      <c r="AC31" s="162"/>
      <c r="AD31" s="162"/>
      <c r="AE31" s="162"/>
      <c r="AF31" s="162"/>
      <c r="AG31" s="162"/>
      <c r="AH31" s="162"/>
      <c r="AI31" s="162"/>
      <c r="AJ31" s="162"/>
    </row>
    <row r="32" spans="1:37" x14ac:dyDescent="0.2">
      <c r="A32" s="107"/>
      <c r="B32" s="108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7"/>
      <c r="B33" s="108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7"/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7"/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4">
        <f t="shared" si="1"/>
        <v>0</v>
      </c>
      <c r="O35" s="50"/>
      <c r="P35" s="48"/>
      <c r="AA35" s="5"/>
      <c r="AB35" s="5"/>
      <c r="AC35" s="103" t="s">
        <v>30</v>
      </c>
      <c r="AD35" s="103"/>
      <c r="AE35" s="49">
        <f>B101</f>
        <v>12</v>
      </c>
      <c r="AF35" s="15" t="s">
        <v>31</v>
      </c>
      <c r="AG35" s="5"/>
      <c r="AH35" s="5"/>
    </row>
    <row r="36" spans="1:37" ht="21" x14ac:dyDescent="0.2">
      <c r="A36" s="107"/>
      <c r="B36" s="108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7" t="s">
        <v>101</v>
      </c>
      <c r="B37" s="108">
        <v>50</v>
      </c>
      <c r="C37" s="109">
        <v>100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4">
        <f t="shared" si="1"/>
        <v>100</v>
      </c>
      <c r="N37" s="46"/>
      <c r="O37" s="50"/>
      <c r="AA37" s="12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1" t="s">
        <v>24</v>
      </c>
      <c r="B39" s="131" t="s">
        <v>19</v>
      </c>
      <c r="C39" s="131" t="s">
        <v>4</v>
      </c>
      <c r="D39" s="131" t="s">
        <v>5</v>
      </c>
      <c r="E39" s="131" t="s">
        <v>6</v>
      </c>
      <c r="F39" s="131" t="s">
        <v>7</v>
      </c>
      <c r="G39" s="131" t="s">
        <v>8</v>
      </c>
      <c r="H39" s="131" t="s">
        <v>9</v>
      </c>
      <c r="I39" s="132" t="s">
        <v>25</v>
      </c>
      <c r="J39" s="133" t="s">
        <v>74</v>
      </c>
      <c r="K39" s="134" t="s">
        <v>75</v>
      </c>
      <c r="L39" s="135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9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7" t="s">
        <v>102</v>
      </c>
      <c r="B41" s="108">
        <v>35</v>
      </c>
      <c r="C41" s="109">
        <v>31</v>
      </c>
      <c r="D41" s="109">
        <v>4.9000000000000004</v>
      </c>
      <c r="E41" s="109">
        <v>0.65</v>
      </c>
      <c r="F41" s="109">
        <v>58.79</v>
      </c>
      <c r="G41" s="109">
        <v>4.4400000000000004</v>
      </c>
      <c r="H41" s="109">
        <v>0.22</v>
      </c>
      <c r="I41" s="109">
        <v>5.27</v>
      </c>
      <c r="J41" s="109">
        <v>0</v>
      </c>
      <c r="K41" s="109">
        <v>0.18</v>
      </c>
      <c r="L41" s="109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7" t="s">
        <v>103</v>
      </c>
      <c r="B42" s="108">
        <v>27</v>
      </c>
      <c r="C42" s="109">
        <f>皮!C87</f>
        <v>25</v>
      </c>
      <c r="D42" s="109">
        <f>皮!D87</f>
        <v>5.3</v>
      </c>
      <c r="E42" s="109">
        <f>皮!E87</f>
        <v>14.3</v>
      </c>
      <c r="F42" s="109">
        <f>皮!F87</f>
        <v>53.699999999999989</v>
      </c>
      <c r="G42" s="109">
        <f>皮!G87</f>
        <v>1.3</v>
      </c>
      <c r="H42" s="109">
        <f>皮!H87</f>
        <v>0.4</v>
      </c>
      <c r="I42" s="109">
        <f>皮!I87</f>
        <v>68.8</v>
      </c>
      <c r="J42" s="109">
        <f>皮!J87</f>
        <v>0.12467532467532468</v>
      </c>
      <c r="K42" s="109">
        <f>皮!K87</f>
        <v>5.1810389610389604</v>
      </c>
      <c r="L42" s="109">
        <f>皮!L87</f>
        <v>18.483116883116882</v>
      </c>
      <c r="M42" s="4">
        <f t="shared" si="2"/>
        <v>99.999999999999986</v>
      </c>
      <c r="Y42" s="104"/>
      <c r="Z42" s="104"/>
      <c r="AA42" s="105"/>
      <c r="AB42" s="104"/>
      <c r="AC42" s="104"/>
      <c r="AD42" s="104"/>
      <c r="AE42" s="104"/>
    </row>
    <row r="43" spans="1:37" x14ac:dyDescent="0.2">
      <c r="A43" s="139"/>
      <c r="B43" s="151"/>
      <c r="C43" s="140"/>
      <c r="D43" s="140"/>
      <c r="E43" s="140"/>
      <c r="F43" s="140"/>
      <c r="G43" s="140"/>
      <c r="H43" s="140"/>
      <c r="I43" s="140"/>
      <c r="J43" s="141"/>
      <c r="K43" s="142"/>
      <c r="L43" s="140"/>
      <c r="M43" s="4">
        <f t="shared" si="2"/>
        <v>0</v>
      </c>
      <c r="Y43" s="104"/>
      <c r="Z43" s="104"/>
      <c r="AA43" s="104"/>
      <c r="AB43" s="104"/>
      <c r="AC43" s="104"/>
      <c r="AD43" s="104"/>
      <c r="AE43" s="104"/>
    </row>
    <row r="44" spans="1:37" x14ac:dyDescent="0.2">
      <c r="A44" s="107"/>
      <c r="B44" s="14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4">
        <f t="shared" si="2"/>
        <v>0</v>
      </c>
      <c r="Y44" s="104"/>
      <c r="Z44" s="104"/>
      <c r="AA44" s="104"/>
      <c r="AB44" s="104"/>
      <c r="AC44" s="104"/>
      <c r="AD44" s="104"/>
      <c r="AE44" s="104"/>
    </row>
    <row r="45" spans="1:37" x14ac:dyDescent="0.2">
      <c r="A45" s="107"/>
      <c r="B45" s="14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4">
        <f t="shared" si="2"/>
        <v>0</v>
      </c>
      <c r="Y45" s="104"/>
      <c r="Z45" s="104"/>
      <c r="AA45" s="46"/>
      <c r="AB45" s="46"/>
      <c r="AC45" s="47"/>
      <c r="AD45" s="48"/>
      <c r="AE45" s="104"/>
    </row>
    <row r="46" spans="1:37" x14ac:dyDescent="0.2">
      <c r="A46" s="107"/>
      <c r="B46" s="14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4">
        <f t="shared" si="2"/>
        <v>0</v>
      </c>
      <c r="Y46" s="104"/>
      <c r="Z46" s="104"/>
      <c r="AA46" s="46"/>
      <c r="AB46" s="46"/>
      <c r="AC46" s="50"/>
      <c r="AD46" s="48"/>
      <c r="AE46" s="104"/>
    </row>
    <row r="47" spans="1:37" x14ac:dyDescent="0.2">
      <c r="A47" s="107"/>
      <c r="B47" s="143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4">
        <f t="shared" si="2"/>
        <v>0</v>
      </c>
      <c r="Y47" s="104"/>
      <c r="Z47" s="104"/>
      <c r="AA47" s="46"/>
      <c r="AB47" s="46"/>
      <c r="AC47" s="50"/>
      <c r="AD47" s="48"/>
      <c r="AE47" s="104"/>
    </row>
    <row r="48" spans="1:37" x14ac:dyDescent="0.2">
      <c r="A48" s="107"/>
      <c r="B48" s="143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4">
        <f t="shared" si="2"/>
        <v>0</v>
      </c>
      <c r="Y48" s="104"/>
      <c r="Z48" s="104"/>
      <c r="AA48" s="46"/>
      <c r="AB48" s="46"/>
      <c r="AC48" s="50"/>
      <c r="AD48" s="48"/>
      <c r="AE48" s="104"/>
    </row>
    <row r="49" spans="1:31" x14ac:dyDescent="0.2">
      <c r="A49" s="107"/>
      <c r="B49" s="143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4">
        <f t="shared" si="2"/>
        <v>0</v>
      </c>
      <c r="Y49" s="104"/>
      <c r="Z49" s="104"/>
      <c r="AA49" s="46"/>
      <c r="AB49" s="46"/>
      <c r="AC49" s="54"/>
      <c r="AD49" s="48"/>
      <c r="AE49" s="104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4"/>
      <c r="Z50" s="104"/>
      <c r="AA50" s="46"/>
      <c r="AB50" s="46"/>
      <c r="AC50" s="54"/>
      <c r="AD50" s="48"/>
      <c r="AE50" s="104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4"/>
      <c r="Z51" s="104"/>
      <c r="AA51" s="46"/>
      <c r="AB51" s="46"/>
      <c r="AC51" s="54"/>
      <c r="AD51" s="48"/>
      <c r="AE51" s="104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4"/>
      <c r="Z52" s="104"/>
      <c r="AA52" s="46"/>
      <c r="AB52" s="46"/>
      <c r="AC52" s="47"/>
      <c r="AD52" s="48"/>
      <c r="AE52" s="104"/>
    </row>
    <row r="53" spans="1:31" x14ac:dyDescent="0.2">
      <c r="A53" s="107" t="str">
        <f>IF(A8="","",A8)</f>
        <v>FNS ﾊﾞﾗ</v>
      </c>
      <c r="B53" s="144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4"/>
      <c r="Z53" s="104"/>
      <c r="AA53" s="104"/>
      <c r="AB53" s="104"/>
      <c r="AC53" s="104"/>
      <c r="AD53" s="104"/>
      <c r="AE53" s="104"/>
    </row>
    <row r="54" spans="1:31" x14ac:dyDescent="0.2">
      <c r="A54" s="107" t="str">
        <f t="shared" ref="A54:B54" si="3">IF(A9="","",A9)</f>
        <v>ｱﾐｭﾘｱ</v>
      </c>
      <c r="B54" s="144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4"/>
      <c r="Z54" s="104"/>
      <c r="AA54" s="104"/>
      <c r="AB54" s="104"/>
      <c r="AC54" s="104"/>
      <c r="AD54" s="104"/>
      <c r="AE54" s="104"/>
    </row>
    <row r="55" spans="1:31" x14ac:dyDescent="0.2">
      <c r="A55" s="107" t="str">
        <f t="shared" ref="A55:B55" si="14">IF(A10="","",A10)</f>
        <v>FKT薄力粉</v>
      </c>
      <c r="B55" s="144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7" t="str">
        <f t="shared" ref="A56:B56" si="15">IF(A11="","",A11)</f>
        <v>ｶﾈｶｲｰｽﾄEMOLH50</v>
      </c>
      <c r="B56" s="144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7" t="str">
        <f t="shared" ref="A57:B57" si="16">IF(A12="","",A12)</f>
        <v>CｱﾝﾃｨｰS#1</v>
      </c>
      <c r="B57" s="144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7" t="str">
        <f t="shared" ref="A58:B58" si="17">IF(A13="","",A13)</f>
        <v>製ﾊﾟﾝ食用塩20kg</v>
      </c>
      <c r="B58" s="144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7" t="str">
        <f t="shared" ref="A59:B59" si="18">IF(A14="","",A14)</f>
        <v>KH1 上白糖</v>
      </c>
      <c r="B59" s="144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7" t="str">
        <f t="shared" ref="A60:B60" si="19">IF(A15="","",A15)</f>
        <v>ﾍﾞﾈﾌｨｰKB</v>
      </c>
      <c r="B60" s="144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5" t="s">
        <v>43</v>
      </c>
    </row>
    <row r="61" spans="1:31" x14ac:dyDescent="0.2">
      <c r="A61" s="107" t="str">
        <f t="shared" ref="A61:B61" si="20">IF(A16="","",A16)</f>
        <v>ｶﾈｶﾏｰｶﾞﾘﾝSD</v>
      </c>
      <c r="B61" s="144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5" t="s">
        <v>53</v>
      </c>
    </row>
    <row r="62" spans="1:31" x14ac:dyDescent="0.2">
      <c r="A62" s="107" t="str">
        <f t="shared" ref="A62:B62" si="21">IF(A17="","",A17)</f>
        <v>LuteOn B ﾌﾟﾙﾐｴｿﾌﾄ</v>
      </c>
      <c r="B62" s="144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6" t="s">
        <v>54</v>
      </c>
    </row>
    <row r="63" spans="1:31" x14ac:dyDescent="0.2">
      <c r="A63" s="107" t="str">
        <f t="shared" ref="A63:B63" si="22">IF(A18="","",A18)</f>
        <v>ﾐﾙｯｸ700C</v>
      </c>
      <c r="B63" s="144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7" t="str">
        <f t="shared" ref="A64:B64" si="23">IF(A19="","",A19)</f>
        <v>加工液全卵(殺菌)</v>
      </c>
      <c r="B64" s="144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7" t="str">
        <f t="shared" ref="A65:B65" si="24">IF(A20="","",A20)</f>
        <v>ﾌｫｰｶｽC(1L)</v>
      </c>
      <c r="B65" s="144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7" t="str">
        <f t="shared" ref="A66:B66" si="25">IF(A21="","",A21)</f>
        <v>ﾚｷﾞｭﾗｰｸﾞﾙﾃﾝA</v>
      </c>
      <c r="B66" s="144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7" t="str">
        <f t="shared" ref="A67:B67" si="26">IF(A22="","",A22)</f>
        <v>ﾌﾞﾚｯﾄﾞﾗｲﾌAP-200</v>
      </c>
      <c r="B67" s="144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7" t="str">
        <f t="shared" ref="A68:B68" si="27">IF(A23="","",A23)</f>
        <v>ﾊｲﾄﾗｲ700</v>
      </c>
      <c r="B68" s="144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.75" x14ac:dyDescent="0.3">
      <c r="A69" s="107" t="str">
        <f t="shared" ref="A69:B69" si="28">IF(A24="","",A24)</f>
        <v/>
      </c>
      <c r="B69" s="144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7" t="s">
        <v>44</v>
      </c>
    </row>
    <row r="70" spans="1:27" x14ac:dyDescent="0.2">
      <c r="A70" s="107" t="str">
        <f t="shared" ref="A70:B70" si="29">IF(A25="","",A25)</f>
        <v/>
      </c>
      <c r="B70" s="144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8" t="s">
        <v>62</v>
      </c>
    </row>
    <row r="71" spans="1:27" x14ac:dyDescent="0.2">
      <c r="A71" s="107" t="str">
        <f t="shared" ref="A71:B71" si="30">IF(A26="","",A26)</f>
        <v/>
      </c>
      <c r="B71" s="144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8" t="s">
        <v>55</v>
      </c>
    </row>
    <row r="72" spans="1:27" x14ac:dyDescent="0.2">
      <c r="A72" s="107" t="str">
        <f t="shared" ref="A72:B72" si="31">IF(A27="","",A27)</f>
        <v/>
      </c>
      <c r="B72" s="144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8" t="s">
        <v>56</v>
      </c>
    </row>
    <row r="73" spans="1:27" x14ac:dyDescent="0.2">
      <c r="A73" s="107" t="str">
        <f t="shared" ref="A73:B73" si="32">IF(A28="","",A28)</f>
        <v/>
      </c>
      <c r="B73" s="144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8" t="s">
        <v>57</v>
      </c>
    </row>
    <row r="74" spans="1:27" x14ac:dyDescent="0.2">
      <c r="A74" s="107" t="str">
        <f t="shared" ref="A74:B74" si="33">IF(A29="","",A29)</f>
        <v/>
      </c>
      <c r="B74" s="144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8" t="s">
        <v>58</v>
      </c>
    </row>
    <row r="75" spans="1:27" x14ac:dyDescent="0.2">
      <c r="A75" s="107" t="str">
        <f t="shared" ref="A75:B75" si="34">IF(A30="","",A30)</f>
        <v/>
      </c>
      <c r="B75" s="144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7" t="str">
        <f t="shared" ref="A76:B76" si="35">IF(A31="","",A31)</f>
        <v/>
      </c>
      <c r="B76" s="144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7" t="str">
        <f t="shared" ref="A77:B77" si="36">IF(A32="","",A32)</f>
        <v/>
      </c>
      <c r="B77" s="144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7" t="str">
        <f t="shared" ref="A78:B78" si="37">IF(A33="","",A33)</f>
        <v/>
      </c>
      <c r="B78" s="144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7" t="str">
        <f t="shared" ref="A79:B79" si="38">IF(A34="","",A34)</f>
        <v/>
      </c>
      <c r="B79" s="144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7" t="str">
        <f t="shared" ref="A80:B80" si="39">IF(A35="","",A35)</f>
        <v/>
      </c>
      <c r="B80" s="144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7" t="str">
        <f t="shared" ref="A81:B81" si="40">IF(A36="","",A36)</f>
        <v/>
      </c>
      <c r="B81" s="144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7" t="str">
        <f t="shared" ref="A82" si="41">IF(A37="","",A37)</f>
        <v>仕込水（※ラボ吸水）</v>
      </c>
      <c r="B82" s="144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196.89999999999998</v>
      </c>
      <c r="C85" s="57">
        <f>C83-B83*B84/100</f>
        <v>77.016400000000004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39.1</v>
      </c>
      <c r="D86" s="67">
        <f>ROUND(+D85/B85*100,1)</f>
        <v>7</v>
      </c>
      <c r="E86" s="67">
        <f>ROUND(+E85/B85*100,1)</f>
        <v>4.5</v>
      </c>
      <c r="F86" s="67">
        <f>ROUND(+F85/B85*100,1)</f>
        <v>45.4</v>
      </c>
      <c r="G86" s="67">
        <f>ROUND(+G85/B85*100,1)</f>
        <v>2.5</v>
      </c>
      <c r="H86" s="67">
        <f>ROUND(+H85/B85*100,1)</f>
        <v>1.4</v>
      </c>
      <c r="I86" s="68">
        <f>ROUND(+I85/B85*100,1)</f>
        <v>416.1</v>
      </c>
      <c r="J86" s="58">
        <f>(+J85/B85*100)</f>
        <v>3.0949720670391073E-2</v>
      </c>
      <c r="K86" s="58">
        <f>(+K85/B85*100)</f>
        <v>1.6009903504316909</v>
      </c>
      <c r="L86" s="59">
        <f>(+L85/B85*100)</f>
        <v>8.1230116810563739</v>
      </c>
    </row>
    <row r="87" spans="1:12" x14ac:dyDescent="0.2">
      <c r="A87" s="9" t="s">
        <v>38</v>
      </c>
      <c r="B87" s="67">
        <f>SUM(C87:H87)</f>
        <v>100</v>
      </c>
      <c r="C87" s="172">
        <v>39.1</v>
      </c>
      <c r="D87" s="172">
        <v>7</v>
      </c>
      <c r="E87" s="172">
        <v>4.5</v>
      </c>
      <c r="F87" s="94">
        <f>F86+100-B86</f>
        <v>45.5</v>
      </c>
      <c r="G87" s="172">
        <v>2.5</v>
      </c>
      <c r="H87" s="172">
        <v>1.4</v>
      </c>
      <c r="I87" s="172">
        <v>416.1</v>
      </c>
      <c r="J87" s="177">
        <v>3.0949720670391073E-2</v>
      </c>
      <c r="K87" s="177">
        <v>1.6009903504316909</v>
      </c>
      <c r="L87" s="172">
        <v>8.1230116810563739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55</v>
      </c>
      <c r="C90" s="57">
        <f>C87/100*B90</f>
        <v>21.505000000000003</v>
      </c>
      <c r="D90" s="57">
        <f>D87/100*B90</f>
        <v>3.8500000000000005</v>
      </c>
      <c r="E90" s="57">
        <f>E87/100*B90</f>
        <v>2.4750000000000001</v>
      </c>
      <c r="F90" s="57">
        <f>F87/100*B90</f>
        <v>25.025000000000002</v>
      </c>
      <c r="G90" s="57">
        <f>G87/100*B90</f>
        <v>1.375</v>
      </c>
      <c r="H90" s="57">
        <f>H87/100*B90</f>
        <v>0.76999999999999991</v>
      </c>
      <c r="I90" s="58">
        <f>I87/100*B90</f>
        <v>228.85500000000002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4.4676564245810058</v>
      </c>
    </row>
    <row r="91" spans="1:12" x14ac:dyDescent="0.2">
      <c r="A91" s="107" t="str">
        <f>IF(A41="","",A41)</f>
        <v>安納芋あん</v>
      </c>
      <c r="B91" s="144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7" t="str">
        <f t="shared" ref="A92:B92" si="54">IF(A42="","",A42)</f>
        <v>皮生地</v>
      </c>
      <c r="B92" s="144">
        <f t="shared" si="54"/>
        <v>27</v>
      </c>
      <c r="C92" s="57">
        <f t="shared" si="44"/>
        <v>6.75</v>
      </c>
      <c r="D92" s="57">
        <f t="shared" si="45"/>
        <v>1.431</v>
      </c>
      <c r="E92" s="57">
        <f t="shared" si="46"/>
        <v>3.8610000000000007</v>
      </c>
      <c r="F92" s="57">
        <f t="shared" si="47"/>
        <v>14.498999999999999</v>
      </c>
      <c r="G92" s="57">
        <f t="shared" si="48"/>
        <v>0.35100000000000003</v>
      </c>
      <c r="H92" s="57">
        <f t="shared" si="49"/>
        <v>0.108</v>
      </c>
      <c r="I92" s="58">
        <f t="shared" si="50"/>
        <v>18.575999999999997</v>
      </c>
      <c r="J92" s="65">
        <f t="shared" si="51"/>
        <v>3.3662337662337664E-2</v>
      </c>
      <c r="K92" s="65">
        <f t="shared" si="52"/>
        <v>1.3988805194805194</v>
      </c>
      <c r="L92" s="65">
        <f t="shared" si="53"/>
        <v>4.9904415584415585</v>
      </c>
    </row>
    <row r="93" spans="1:12" x14ac:dyDescent="0.2">
      <c r="A93" s="107" t="str">
        <f t="shared" ref="A93:B93" si="55">IF(A43="","",A43)</f>
        <v/>
      </c>
      <c r="B93" s="144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7" t="str">
        <f t="shared" ref="A94:B94" si="56">IF(A44="","",A44)</f>
        <v/>
      </c>
      <c r="B94" s="144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7" t="str">
        <f t="shared" ref="A95:B95" si="57">IF(A45="","",A45)</f>
        <v/>
      </c>
      <c r="B95" s="144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7" t="str">
        <f t="shared" ref="A96:B96" si="58">IF(A46="","",A46)</f>
        <v/>
      </c>
      <c r="B96" s="144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7" t="str">
        <f t="shared" ref="A97:B97" si="59">IF(A47="","",A47)</f>
        <v/>
      </c>
      <c r="B97" s="144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7" t="str">
        <f t="shared" ref="A98:B98" si="60">IF(A48="","",A48)</f>
        <v/>
      </c>
      <c r="B98" s="144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7" t="str">
        <f t="shared" ref="A99:B99" si="61">IF(A49="","",A49)</f>
        <v/>
      </c>
      <c r="B99" s="144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117</v>
      </c>
      <c r="C100" s="57">
        <f>SUM(C90:C99)</f>
        <v>39.105000000000004</v>
      </c>
      <c r="D100" s="57">
        <f t="shared" si="62"/>
        <v>6.9960000000000004</v>
      </c>
      <c r="E100" s="57">
        <f t="shared" si="62"/>
        <v>6.5635000000000012</v>
      </c>
      <c r="F100" s="57">
        <f t="shared" si="62"/>
        <v>60.100499999999997</v>
      </c>
      <c r="G100" s="57">
        <f t="shared" si="62"/>
        <v>3.2800000000000002</v>
      </c>
      <c r="H100" s="57">
        <f t="shared" si="62"/>
        <v>0.95499999999999985</v>
      </c>
      <c r="I100" s="58">
        <f t="shared" si="62"/>
        <v>249.27550000000002</v>
      </c>
      <c r="J100" s="58">
        <f t="shared" si="62"/>
        <v>5.0684684031052751E-2</v>
      </c>
      <c r="K100" s="58">
        <f t="shared" si="62"/>
        <v>2.3424252122179494</v>
      </c>
      <c r="L100" s="58">
        <f t="shared" si="62"/>
        <v>9.4580979830225651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102.96000000000001</v>
      </c>
      <c r="C102" s="57">
        <f>C100-B100*B101/100</f>
        <v>25.065000000000005</v>
      </c>
      <c r="D102" s="57">
        <f t="shared" ref="D102:L102" si="63">SUM(D90:D99)</f>
        <v>6.9960000000000004</v>
      </c>
      <c r="E102" s="57">
        <f t="shared" si="63"/>
        <v>6.5635000000000012</v>
      </c>
      <c r="F102" s="57">
        <f t="shared" si="63"/>
        <v>60.100499999999997</v>
      </c>
      <c r="G102" s="57">
        <f t="shared" si="63"/>
        <v>3.2800000000000002</v>
      </c>
      <c r="H102" s="57">
        <f t="shared" si="63"/>
        <v>0.95499999999999985</v>
      </c>
      <c r="I102" s="58">
        <f t="shared" si="63"/>
        <v>249.27550000000002</v>
      </c>
      <c r="J102" s="69">
        <f t="shared" si="63"/>
        <v>5.0684684031052751E-2</v>
      </c>
      <c r="K102" s="69">
        <f t="shared" si="63"/>
        <v>2.3424252122179494</v>
      </c>
      <c r="L102" s="66">
        <f t="shared" si="63"/>
        <v>9.4580979830225651</v>
      </c>
    </row>
    <row r="103" spans="1:12" ht="18" thickBot="1" x14ac:dyDescent="0.25">
      <c r="A103" s="70" t="s">
        <v>37</v>
      </c>
      <c r="B103" s="71">
        <f>SUM(C103:H103)</f>
        <v>100.00000000000001</v>
      </c>
      <c r="C103" s="71">
        <f>ROUND(+C102/B102*100,1)</f>
        <v>24.3</v>
      </c>
      <c r="D103" s="71">
        <f>ROUND(+D102/B102*100,1)</f>
        <v>6.8</v>
      </c>
      <c r="E103" s="71">
        <f>ROUND(+E102/B102*100,1)</f>
        <v>6.4</v>
      </c>
      <c r="F103" s="71">
        <f>ROUND(+F102/B102*100,1)</f>
        <v>58.4</v>
      </c>
      <c r="G103" s="71">
        <f>ROUND(+G102/B102*100,1)</f>
        <v>3.2</v>
      </c>
      <c r="H103" s="71">
        <f>ROUND(+H102/B102*100,1)</f>
        <v>0.9</v>
      </c>
      <c r="I103" s="101">
        <f>ROUND(+I102/B102*100,0)</f>
        <v>242</v>
      </c>
      <c r="J103" s="100">
        <f>ROUND(+J102/B102*100,2)</f>
        <v>0.05</v>
      </c>
      <c r="K103" s="100">
        <f>ROUND(+K102/B102*100,2)</f>
        <v>2.2799999999999998</v>
      </c>
      <c r="L103" s="102">
        <f>ROUND(+L102/B102*100,0)</f>
        <v>9</v>
      </c>
    </row>
    <row r="104" spans="1:12" ht="18.75" thickTop="1" thickBot="1" x14ac:dyDescent="0.25">
      <c r="A104" s="72" t="s">
        <v>38</v>
      </c>
      <c r="B104" s="73">
        <f>SUM(C104:H104)</f>
        <v>100</v>
      </c>
      <c r="C104" s="173">
        <v>24.3</v>
      </c>
      <c r="D104" s="173">
        <v>6.8</v>
      </c>
      <c r="E104" s="173">
        <v>6.4</v>
      </c>
      <c r="F104" s="74">
        <f>F103+100-B103</f>
        <v>58.399999999999991</v>
      </c>
      <c r="G104" s="174">
        <v>3.2</v>
      </c>
      <c r="H104" s="174">
        <v>0.9</v>
      </c>
      <c r="I104" s="175">
        <v>242</v>
      </c>
      <c r="J104" s="176">
        <v>0.05</v>
      </c>
      <c r="K104" s="176">
        <v>2.2799999999999998</v>
      </c>
      <c r="L104" s="175">
        <v>9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8" t="s">
        <v>77</v>
      </c>
      <c r="B106" s="149">
        <v>103</v>
      </c>
      <c r="C106" s="150" t="str">
        <f>IF(COUNTIF(A6,"*ｾﾌﾞﾝﾌﾟﾚﾐｱﾑ*")+COUNTIF(A6,"*7P*"),"7P 複数個入り注意!!","")</f>
        <v/>
      </c>
      <c r="D106" s="77"/>
      <c r="E106" s="77"/>
      <c r="F106" s="80">
        <f>SUM(F104:G104)</f>
        <v>61.599999999999994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>
        <f>ROUND(+D104*4+E104*9+F104*4+G104*2,0)</f>
        <v>325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10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1" t="s">
        <v>47</v>
      </c>
      <c r="D112" s="111" t="s">
        <v>17</v>
      </c>
      <c r="E112" s="111" t="s">
        <v>18</v>
      </c>
      <c r="F112" s="111" t="s">
        <v>20</v>
      </c>
      <c r="G112" s="111" t="s">
        <v>21</v>
      </c>
      <c r="H112" s="111" t="s">
        <v>12</v>
      </c>
      <c r="I112" s="111" t="s">
        <v>48</v>
      </c>
      <c r="J112" s="111" t="s">
        <v>49</v>
      </c>
      <c r="K112" s="111" t="s">
        <v>64</v>
      </c>
      <c r="L112" s="3"/>
    </row>
    <row r="113" spans="1:12" x14ac:dyDescent="0.2">
      <c r="A113" s="2"/>
      <c r="B113" s="87"/>
      <c r="C113" s="112">
        <f>AG14</f>
        <v>335</v>
      </c>
      <c r="D113" s="113">
        <f>AG15</f>
        <v>7</v>
      </c>
      <c r="E113" s="113">
        <f>AG16</f>
        <v>6.6</v>
      </c>
      <c r="F113" s="114">
        <f>AG17</f>
        <v>63.400000000000006</v>
      </c>
      <c r="G113" s="115">
        <f>AG20</f>
        <v>0.63</v>
      </c>
      <c r="H113" s="116">
        <f>AG25</f>
        <v>2.35</v>
      </c>
      <c r="I113" s="115">
        <f>IF(AG13&gt;=100,AG26,IF(AE26&lt;0.3,0,AG26))</f>
        <v>0.05</v>
      </c>
      <c r="J113" s="117">
        <f>IF(AE27&lt;5,0,AG27)</f>
        <v>9</v>
      </c>
      <c r="K113" s="156" t="str">
        <f>AA18&amp;"："&amp;TEXT(AG18,"G/標準")&amp;AH18&amp;CHAR(10)&amp; AA19&amp;":"&amp;TEXT(AG19,"g/標準")&amp;AH19</f>
        <v>糖質：60.2g
食物繊維:3.2g</v>
      </c>
      <c r="L113" s="3"/>
    </row>
    <row r="114" spans="1:12" x14ac:dyDescent="0.2">
      <c r="A114" s="2"/>
      <c r="B114" s="87"/>
      <c r="C114" s="118" t="s">
        <v>50</v>
      </c>
      <c r="D114" s="119" t="s">
        <v>51</v>
      </c>
      <c r="E114" s="119" t="s">
        <v>51</v>
      </c>
      <c r="F114" s="120" t="s">
        <v>51</v>
      </c>
      <c r="G114" s="119" t="s">
        <v>51</v>
      </c>
      <c r="H114" s="120" t="s">
        <v>51</v>
      </c>
      <c r="I114" s="119" t="s">
        <v>51</v>
      </c>
      <c r="J114" s="121" t="s">
        <v>52</v>
      </c>
      <c r="K114" s="157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8"/>
    </row>
    <row r="118" spans="1:12" x14ac:dyDescent="0.2">
      <c r="A118" s="98"/>
    </row>
    <row r="119" spans="1:12" x14ac:dyDescent="0.2">
      <c r="A119" s="122"/>
    </row>
    <row r="120" spans="1:12" x14ac:dyDescent="0.2">
      <c r="A120" s="98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py87">
          <controlPr defaultSize="0" autoLine="0" autoPict="0" r:id="rId5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2049" r:id="rId4" name="cmdCopy87"/>
      </mc:Fallback>
    </mc:AlternateContent>
    <mc:AlternateContent xmlns:mc="http://schemas.openxmlformats.org/markup-compatibility/2006">
      <mc:Choice Requires="x14">
        <control shapeId="2050" r:id="rId6" name="cmdClear87">
          <controlPr defaultSize="0" autoLine="0" autoPict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2050" r:id="rId6" name="cmdClear87"/>
      </mc:Fallback>
    </mc:AlternateContent>
    <mc:AlternateContent xmlns:mc="http://schemas.openxmlformats.org/markup-compatibility/2006">
      <mc:Choice Requires="x14">
        <control shapeId="2051" r:id="rId8" name="cmdCopy104">
          <controlPr defaultSize="0" autoLine="0" autoPict="0" r:id="rId9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2051" r:id="rId8" name="cmdCopy104"/>
      </mc:Fallback>
    </mc:AlternateContent>
    <mc:AlternateContent xmlns:mc="http://schemas.openxmlformats.org/markup-compatibility/2006">
      <mc:Choice Requires="x14">
        <control shapeId="2052" r:id="rId10" name="cmdClear104">
          <controlPr defaultSize="0" autoLine="0" autoPict="0" r:id="rId11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2052" r:id="rId10" name="cmdClear10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pageSetUpPr fitToPage="1"/>
  </sheetPr>
  <dimension ref="A1:AK120"/>
  <sheetViews>
    <sheetView showGridLines="0" tabSelected="1" zoomScale="85" zoomScaleNormal="85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6" t="s">
        <v>76</v>
      </c>
    </row>
    <row r="2" spans="1:37" x14ac:dyDescent="0.2">
      <c r="A2" s="123" t="s">
        <v>117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81</v>
      </c>
      <c r="B4" s="2"/>
      <c r="C4" s="2"/>
      <c r="D4" s="2"/>
      <c r="E4" s="2"/>
      <c r="F4" s="159" t="s">
        <v>82</v>
      </c>
      <c r="G4" s="160"/>
      <c r="H4" s="16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64" t="s">
        <v>1</v>
      </c>
      <c r="B5" s="164"/>
      <c r="C5" s="164"/>
      <c r="D5" s="164"/>
      <c r="E5" s="164"/>
      <c r="F5" s="126" t="s">
        <v>68</v>
      </c>
      <c r="G5" s="126" t="s">
        <v>69</v>
      </c>
      <c r="H5" s="126" t="s">
        <v>70</v>
      </c>
      <c r="I5" s="158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">
      <c r="A6" s="165" t="s">
        <v>108</v>
      </c>
      <c r="B6" s="166"/>
      <c r="C6" s="166"/>
      <c r="D6" s="166"/>
      <c r="E6" s="167"/>
      <c r="F6" s="127" t="s">
        <v>112</v>
      </c>
      <c r="G6" s="128" t="s">
        <v>113</v>
      </c>
      <c r="H6" s="129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30" t="s">
        <v>2</v>
      </c>
      <c r="B7" s="131" t="s">
        <v>3</v>
      </c>
      <c r="C7" s="131" t="s">
        <v>4</v>
      </c>
      <c r="D7" s="131" t="s">
        <v>5</v>
      </c>
      <c r="E7" s="131" t="s">
        <v>6</v>
      </c>
      <c r="F7" s="131" t="s">
        <v>7</v>
      </c>
      <c r="G7" s="131" t="s">
        <v>8</v>
      </c>
      <c r="H7" s="131" t="s">
        <v>9</v>
      </c>
      <c r="I7" s="132" t="s">
        <v>10</v>
      </c>
      <c r="J7" s="133" t="s">
        <v>11</v>
      </c>
      <c r="K7" s="134" t="s">
        <v>12</v>
      </c>
      <c r="L7" s="135" t="s">
        <v>13</v>
      </c>
      <c r="AA7" s="16" t="s">
        <v>14</v>
      </c>
      <c r="AB7" s="168" t="str">
        <f>IF(COUNTIF($F$6,"1"),CONCATENATE($A$6,"(",$H$6,")"),CONCATENATE($A$6,$F$6,$G$6,"入","(",$H$6,")"))</f>
        <v>焼きいも一本(東京)</v>
      </c>
      <c r="AC7" s="168"/>
      <c r="AD7" s="168"/>
      <c r="AE7" s="168"/>
      <c r="AF7" s="168"/>
      <c r="AG7" s="168"/>
      <c r="AH7" s="168"/>
      <c r="AI7" s="168"/>
      <c r="AJ7" s="5"/>
    </row>
    <row r="8" spans="1:37" x14ac:dyDescent="0.2">
      <c r="A8" s="107" t="s">
        <v>91</v>
      </c>
      <c r="B8" s="108">
        <v>30</v>
      </c>
      <c r="C8" s="109">
        <v>0.7</v>
      </c>
      <c r="D8" s="109">
        <v>0</v>
      </c>
      <c r="E8" s="109">
        <v>0</v>
      </c>
      <c r="F8" s="109">
        <v>99.3</v>
      </c>
      <c r="G8" s="109"/>
      <c r="H8" s="109">
        <v>0</v>
      </c>
      <c r="I8" s="109">
        <v>1</v>
      </c>
      <c r="J8" s="109"/>
      <c r="K8" s="109"/>
      <c r="L8" s="109">
        <v>0</v>
      </c>
      <c r="M8" s="4">
        <f>SUM(C8:H8)</f>
        <v>100</v>
      </c>
      <c r="AB8" s="5" t="s">
        <v>65</v>
      </c>
      <c r="AJ8" s="5"/>
    </row>
    <row r="9" spans="1:37" x14ac:dyDescent="0.2">
      <c r="A9" s="107" t="s">
        <v>100</v>
      </c>
      <c r="B9" s="108">
        <v>0.3</v>
      </c>
      <c r="C9" s="109">
        <v>0.38</v>
      </c>
      <c r="D9" s="109">
        <v>0.03</v>
      </c>
      <c r="E9" s="109">
        <v>0.65</v>
      </c>
      <c r="F9" s="109">
        <v>53.74</v>
      </c>
      <c r="G9" s="109">
        <v>0</v>
      </c>
      <c r="H9" s="109">
        <v>45.2</v>
      </c>
      <c r="I9" s="109">
        <v>19600</v>
      </c>
      <c r="J9" s="109">
        <v>0</v>
      </c>
      <c r="K9" s="109">
        <v>0.5</v>
      </c>
      <c r="L9" s="109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7" t="s">
        <v>93</v>
      </c>
      <c r="B10" s="108">
        <v>30</v>
      </c>
      <c r="C10" s="109">
        <v>16.5</v>
      </c>
      <c r="D10" s="109">
        <v>0</v>
      </c>
      <c r="E10" s="109">
        <v>83.2</v>
      </c>
      <c r="F10" s="109">
        <v>0</v>
      </c>
      <c r="G10" s="109">
        <v>0</v>
      </c>
      <c r="H10" s="109">
        <v>0.3</v>
      </c>
      <c r="I10" s="109">
        <v>118</v>
      </c>
      <c r="J10" s="109">
        <v>0.8</v>
      </c>
      <c r="K10" s="109">
        <v>31.1</v>
      </c>
      <c r="L10" s="109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7" t="s">
        <v>95</v>
      </c>
      <c r="B11" s="108">
        <v>18</v>
      </c>
      <c r="C11" s="109">
        <v>83.1</v>
      </c>
      <c r="D11" s="109">
        <v>9.6</v>
      </c>
      <c r="E11" s="109">
        <v>5.4</v>
      </c>
      <c r="F11" s="109">
        <v>0.4</v>
      </c>
      <c r="G11" s="109">
        <v>0</v>
      </c>
      <c r="H11" s="109">
        <v>0.7</v>
      </c>
      <c r="I11" s="109">
        <v>130</v>
      </c>
      <c r="J11" s="109">
        <v>0</v>
      </c>
      <c r="K11" s="109">
        <v>1.65</v>
      </c>
      <c r="L11" s="109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7" t="s">
        <v>104</v>
      </c>
      <c r="B12" s="108">
        <v>1</v>
      </c>
      <c r="C12" s="109">
        <v>35.1</v>
      </c>
      <c r="D12" s="109">
        <v>0</v>
      </c>
      <c r="E12" s="109">
        <v>0</v>
      </c>
      <c r="F12" s="109">
        <v>47.9</v>
      </c>
      <c r="G12" s="109">
        <v>13.5</v>
      </c>
      <c r="H12" s="109">
        <v>3.5</v>
      </c>
      <c r="I12" s="109">
        <v>1461</v>
      </c>
      <c r="J12" s="109"/>
      <c r="K12" s="109"/>
      <c r="L12" s="109"/>
      <c r="M12" s="4">
        <f t="shared" si="0"/>
        <v>100</v>
      </c>
      <c r="AA12" s="16" t="s">
        <v>15</v>
      </c>
      <c r="AB12" s="5"/>
      <c r="AC12" s="5"/>
      <c r="AD12" s="17"/>
      <c r="AE12" s="169" t="s">
        <v>59</v>
      </c>
      <c r="AG12" s="171" t="str">
        <f>"1"&amp;$G$6&amp;"当たり"</f>
        <v>1個当たり</v>
      </c>
      <c r="AH12" s="171"/>
      <c r="AI12" s="171"/>
      <c r="AJ12" s="18"/>
      <c r="AK12" s="163" t="s">
        <v>45</v>
      </c>
    </row>
    <row r="13" spans="1:37" ht="24.75" x14ac:dyDescent="0.25">
      <c r="A13" s="107" t="s">
        <v>87</v>
      </c>
      <c r="B13" s="108">
        <v>90</v>
      </c>
      <c r="C13" s="109">
        <v>14.5</v>
      </c>
      <c r="D13" s="109">
        <v>8</v>
      </c>
      <c r="E13" s="109">
        <v>1.5</v>
      </c>
      <c r="F13" s="109">
        <v>73.099999999999994</v>
      </c>
      <c r="G13" s="109">
        <v>2.5</v>
      </c>
      <c r="H13" s="109">
        <v>0.4</v>
      </c>
      <c r="I13" s="109">
        <v>0</v>
      </c>
      <c r="J13" s="109">
        <v>0</v>
      </c>
      <c r="K13" s="109">
        <v>0.34</v>
      </c>
      <c r="L13" s="109">
        <v>0</v>
      </c>
      <c r="M13" s="4">
        <f t="shared" si="0"/>
        <v>100</v>
      </c>
      <c r="AA13" s="5"/>
      <c r="AB13" s="5"/>
      <c r="AC13" s="5"/>
      <c r="AD13" s="19"/>
      <c r="AE13" s="170"/>
      <c r="AF13" s="17"/>
      <c r="AG13" s="153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63"/>
    </row>
    <row r="14" spans="1:37" s="23" customFormat="1" ht="22.5" x14ac:dyDescent="0.25">
      <c r="A14" s="107" t="s">
        <v>105</v>
      </c>
      <c r="B14" s="108">
        <v>10</v>
      </c>
      <c r="C14" s="109">
        <v>14.4</v>
      </c>
      <c r="D14" s="109">
        <v>12.7</v>
      </c>
      <c r="E14" s="109">
        <v>1.7</v>
      </c>
      <c r="F14" s="109">
        <v>68.61</v>
      </c>
      <c r="G14" s="109">
        <v>2.1</v>
      </c>
      <c r="H14" s="109">
        <v>0.49</v>
      </c>
      <c r="I14" s="109"/>
      <c r="J14" s="109"/>
      <c r="K14" s="109">
        <v>0.39</v>
      </c>
      <c r="L14" s="109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6">
        <v>0</v>
      </c>
    </row>
    <row r="15" spans="1:37" ht="22.5" x14ac:dyDescent="0.25">
      <c r="A15" s="107"/>
      <c r="B15" s="108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4">
        <f t="shared" si="0"/>
        <v>0</v>
      </c>
      <c r="AA15" s="30" t="s">
        <v>17</v>
      </c>
      <c r="AB15" s="31"/>
      <c r="AC15" s="26"/>
      <c r="AD15" s="26"/>
      <c r="AE15" s="29" t="e">
        <f>$D$104</f>
        <v>#DIV/0!</v>
      </c>
      <c r="AF15" s="28"/>
      <c r="AG15" s="29" t="e">
        <f>ROUND(($AG$13*AE15)/100,1)</f>
        <v>#DIV/0!</v>
      </c>
      <c r="AH15" s="26" t="s">
        <v>60</v>
      </c>
      <c r="AI15" s="29"/>
      <c r="AJ15" s="31"/>
      <c r="AK15" s="106">
        <v>1</v>
      </c>
    </row>
    <row r="16" spans="1:37" ht="22.5" x14ac:dyDescent="0.25">
      <c r="A16" s="107"/>
      <c r="B16" s="108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 t="e">
        <f>$E$104</f>
        <v>#DIV/0!</v>
      </c>
      <c r="AF16" s="28"/>
      <c r="AG16" s="29" t="e">
        <f>ROUND(($AG$13*AE16)/100,1)</f>
        <v>#DIV/0!</v>
      </c>
      <c r="AH16" s="26" t="s">
        <v>60</v>
      </c>
      <c r="AI16" s="29"/>
      <c r="AJ16" s="31"/>
      <c r="AK16" s="106">
        <v>1</v>
      </c>
    </row>
    <row r="17" spans="1:37" ht="22.5" x14ac:dyDescent="0.25">
      <c r="A17" s="107"/>
      <c r="B17" s="108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6">
        <v>1</v>
      </c>
    </row>
    <row r="18" spans="1:37" ht="22.5" x14ac:dyDescent="0.25">
      <c r="A18" s="107"/>
      <c r="B18" s="108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4">
        <f t="shared" si="0"/>
        <v>0</v>
      </c>
      <c r="AA18" s="154" t="s">
        <v>78</v>
      </c>
      <c r="AB18" s="31"/>
      <c r="AC18" s="26"/>
      <c r="AD18" s="26"/>
      <c r="AE18" s="152" t="e">
        <f>$F$104</f>
        <v>#DIV/0!</v>
      </c>
      <c r="AF18" s="146"/>
      <c r="AG18" s="152" t="e">
        <f>ROUND(($AG$13*AE18)/100,1)</f>
        <v>#DIV/0!</v>
      </c>
      <c r="AH18" s="26" t="s">
        <v>60</v>
      </c>
      <c r="AI18" s="34"/>
      <c r="AJ18" s="31"/>
      <c r="AK18" s="106">
        <v>1</v>
      </c>
    </row>
    <row r="19" spans="1:37" ht="22.5" x14ac:dyDescent="0.25">
      <c r="A19" s="107"/>
      <c r="B19" s="108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4">
        <f t="shared" si="0"/>
        <v>0</v>
      </c>
      <c r="AA19" s="155" t="s">
        <v>79</v>
      </c>
      <c r="AB19" s="31"/>
      <c r="AC19" s="90"/>
      <c r="AD19" s="26"/>
      <c r="AE19" s="29" t="e">
        <f>$G$104</f>
        <v>#DIV/0!</v>
      </c>
      <c r="AF19" s="28"/>
      <c r="AG19" s="29" t="e">
        <f>ROUNDDOWN(($AG$13*AE19)/100,1)</f>
        <v>#DIV/0!</v>
      </c>
      <c r="AH19" s="90" t="s">
        <v>60</v>
      </c>
      <c r="AI19" s="34"/>
      <c r="AJ19" s="31"/>
      <c r="AK19" s="106">
        <v>1</v>
      </c>
    </row>
    <row r="20" spans="1:37" ht="22.5" x14ac:dyDescent="0.25">
      <c r="A20" s="107"/>
      <c r="B20" s="108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4">
        <f t="shared" si="0"/>
        <v>0</v>
      </c>
      <c r="AA20" s="30" t="s">
        <v>21</v>
      </c>
      <c r="AB20" s="31"/>
      <c r="AC20" s="26"/>
      <c r="AD20" s="26"/>
      <c r="AE20" s="145" t="e">
        <f>IF($AE$22&lt;4.5,0,ROUND($AE$22/1000*2.54,2))</f>
        <v>#DIV/0!</v>
      </c>
      <c r="AF20" s="28"/>
      <c r="AG20" s="145" t="e">
        <f>IF($AE$22&lt;4.5,0,ROUND($AG$22/1000*2.54,2))</f>
        <v>#DIV/0!</v>
      </c>
      <c r="AH20" s="26" t="s">
        <v>60</v>
      </c>
      <c r="AI20" s="27"/>
      <c r="AJ20" s="31"/>
      <c r="AK20" s="106" t="e">
        <f>IF($AE$22&lt;4.5,0,2)</f>
        <v>#DIV/0!</v>
      </c>
    </row>
    <row r="21" spans="1:37" ht="22.5" x14ac:dyDescent="0.25">
      <c r="A21" s="107"/>
      <c r="B21" s="108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7"/>
      <c r="B22" s="108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4">
        <f t="shared" si="0"/>
        <v>0</v>
      </c>
      <c r="AA22" s="30" t="s">
        <v>22</v>
      </c>
      <c r="AB22" s="31"/>
      <c r="AC22" s="26"/>
      <c r="AD22" s="26"/>
      <c r="AE22" s="27" t="e">
        <f>$I$104</f>
        <v>#DIV/0!</v>
      </c>
      <c r="AF22" s="28"/>
      <c r="AG22" s="27" t="e">
        <f>ROUND(($AG$13*AE22)/100,0)</f>
        <v>#DIV/0!</v>
      </c>
      <c r="AH22" s="26" t="s">
        <v>61</v>
      </c>
      <c r="AI22" s="39"/>
      <c r="AJ22" s="37"/>
    </row>
    <row r="23" spans="1:37" ht="22.5" x14ac:dyDescent="0.25">
      <c r="A23" s="107"/>
      <c r="B23" s="108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 t="e">
        <f>$C$104</f>
        <v>#DIV/0!</v>
      </c>
      <c r="AF23" s="147"/>
      <c r="AG23" s="40" t="e">
        <f>ROUND(($AG$13*AE23)/100,1)</f>
        <v>#DIV/0!</v>
      </c>
      <c r="AH23" s="38" t="s">
        <v>60</v>
      </c>
      <c r="AI23" s="34"/>
      <c r="AJ23" s="31"/>
    </row>
    <row r="24" spans="1:37" ht="22.5" x14ac:dyDescent="0.25">
      <c r="A24" s="107"/>
      <c r="B24" s="108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4">
        <f t="shared" si="1"/>
        <v>0</v>
      </c>
      <c r="AA24" s="30" t="s">
        <v>26</v>
      </c>
      <c r="AB24" s="37"/>
      <c r="AC24" s="38"/>
      <c r="AD24" s="38"/>
      <c r="AE24" s="40" t="e">
        <f>$H$104</f>
        <v>#DIV/0!</v>
      </c>
      <c r="AF24" s="147"/>
      <c r="AG24" s="40" t="e">
        <f>ROUND(($AG$13*AE24)/100,1)</f>
        <v>#DIV/0!</v>
      </c>
      <c r="AH24" s="38" t="s">
        <v>60</v>
      </c>
      <c r="AI24" s="34"/>
      <c r="AJ24" s="31"/>
    </row>
    <row r="25" spans="1:37" ht="22.7" customHeight="1" x14ac:dyDescent="0.25">
      <c r="A25" s="107"/>
      <c r="B25" s="108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4">
        <f t="shared" si="1"/>
        <v>0</v>
      </c>
      <c r="Z25" s="4" t="e">
        <f>IF(AG25&lt;15,"","＊1")</f>
        <v>#DIV/0!</v>
      </c>
      <c r="AA25" s="30" t="s">
        <v>12</v>
      </c>
      <c r="AB25" s="26"/>
      <c r="AC25" s="26"/>
      <c r="AD25" s="26"/>
      <c r="AE25" s="145" t="e">
        <f>$K$104</f>
        <v>#DIV/0!</v>
      </c>
      <c r="AF25" s="43"/>
      <c r="AG25" s="145" t="e">
        <f>ROUND(($AG$13*AE25)/100,2)</f>
        <v>#DIV/0!</v>
      </c>
      <c r="AH25" s="26" t="s">
        <v>60</v>
      </c>
      <c r="AI25" s="34"/>
      <c r="AJ25" s="31"/>
      <c r="AK25" s="106">
        <v>2</v>
      </c>
    </row>
    <row r="26" spans="1:37" ht="22.5" x14ac:dyDescent="0.25">
      <c r="A26" s="107"/>
      <c r="B26" s="108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4">
        <f t="shared" si="1"/>
        <v>0</v>
      </c>
      <c r="Z26" s="137" t="e">
        <f>IF(OR(AND(AE26&gt;=0.3,AG26*VALUE(F6)&gt;=0.45),AE26&gt;=0.45,AND(AG13&gt;=100,AG26*VALUE(F6)&gt;=0.45)),"＊2","")</f>
        <v>#DIV/0!</v>
      </c>
      <c r="AA26" s="30" t="s">
        <v>28</v>
      </c>
      <c r="AB26" s="26"/>
      <c r="AC26" s="26"/>
      <c r="AD26" s="26"/>
      <c r="AE26" s="145" t="e">
        <f>$J$104</f>
        <v>#DIV/0!</v>
      </c>
      <c r="AF26" s="44"/>
      <c r="AG26" s="145" t="e">
        <f>ROUND(($AG$13*AE26)/100,2)</f>
        <v>#DIV/0!</v>
      </c>
      <c r="AH26" s="26" t="s">
        <v>60</v>
      </c>
      <c r="AI26" s="34"/>
      <c r="AJ26" s="31"/>
      <c r="AK26" s="106">
        <v>2</v>
      </c>
    </row>
    <row r="27" spans="1:37" ht="22.5" x14ac:dyDescent="0.25">
      <c r="A27" s="107"/>
      <c r="B27" s="108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4">
        <f t="shared" si="1"/>
        <v>0</v>
      </c>
      <c r="AA27" s="30" t="s">
        <v>29</v>
      </c>
      <c r="AB27" s="26"/>
      <c r="AC27" s="26"/>
      <c r="AD27" s="26"/>
      <c r="AE27" s="93" t="e">
        <f>$L$104</f>
        <v>#DIV/0!</v>
      </c>
      <c r="AF27" s="44"/>
      <c r="AG27" s="27" t="e">
        <f>ROUND(($AG$13*AE27)/100,0)</f>
        <v>#DIV/0!</v>
      </c>
      <c r="AH27" s="26" t="s">
        <v>61</v>
      </c>
      <c r="AI27" s="34"/>
      <c r="AJ27" s="31"/>
      <c r="AK27" s="106">
        <v>0</v>
      </c>
    </row>
    <row r="28" spans="1:37" x14ac:dyDescent="0.2">
      <c r="A28" s="107"/>
      <c r="B28" s="108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4">
        <f>SUM(C28:H28)</f>
        <v>0</v>
      </c>
    </row>
    <row r="29" spans="1:37" x14ac:dyDescent="0.2">
      <c r="A29" s="107"/>
      <c r="B29" s="108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4">
        <f>SUM(C29:H29)</f>
        <v>0</v>
      </c>
      <c r="O29" s="47"/>
      <c r="P29" s="48"/>
    </row>
    <row r="30" spans="1:37" x14ac:dyDescent="0.2">
      <c r="A30" s="107"/>
      <c r="B30" s="108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4">
        <f>SUM(C30:H30)</f>
        <v>0</v>
      </c>
      <c r="O30" s="50"/>
      <c r="P30" s="48"/>
    </row>
    <row r="31" spans="1:37" ht="18" x14ac:dyDescent="0.2">
      <c r="A31" s="107"/>
      <c r="B31" s="108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4">
        <f>SUM(C31:H31)</f>
        <v>0</v>
      </c>
      <c r="N31" s="46"/>
      <c r="P31" s="48"/>
      <c r="AA31" s="162" t="s">
        <v>67</v>
      </c>
      <c r="AB31" s="162"/>
      <c r="AC31" s="162"/>
      <c r="AD31" s="162"/>
      <c r="AE31" s="162"/>
      <c r="AF31" s="162"/>
      <c r="AG31" s="162"/>
      <c r="AH31" s="162"/>
      <c r="AI31" s="162"/>
      <c r="AJ31" s="162"/>
    </row>
    <row r="32" spans="1:37" x14ac:dyDescent="0.2">
      <c r="A32" s="107"/>
      <c r="B32" s="108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7"/>
      <c r="B33" s="108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7"/>
      <c r="B34" s="108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7"/>
      <c r="B35" s="108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4">
        <f t="shared" si="1"/>
        <v>0</v>
      </c>
      <c r="O35" s="50"/>
      <c r="P35" s="48"/>
      <c r="AA35" s="5"/>
      <c r="AB35" s="5"/>
      <c r="AC35" s="103" t="s">
        <v>30</v>
      </c>
      <c r="AD35" s="103"/>
      <c r="AE35" s="49">
        <f>B101</f>
        <v>0</v>
      </c>
      <c r="AF35" s="15" t="s">
        <v>31</v>
      </c>
      <c r="AG35" s="5"/>
      <c r="AH35" s="5"/>
    </row>
    <row r="36" spans="1:37" ht="21" x14ac:dyDescent="0.2">
      <c r="A36" s="107"/>
      <c r="B36" s="108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7" t="s">
        <v>101</v>
      </c>
      <c r="B37" s="108">
        <v>13.2</v>
      </c>
      <c r="C37" s="109">
        <v>100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4">
        <f t="shared" si="1"/>
        <v>100</v>
      </c>
      <c r="N37" s="46"/>
      <c r="O37" s="50"/>
      <c r="AA37" s="12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1" t="s">
        <v>24</v>
      </c>
      <c r="B39" s="131" t="s">
        <v>19</v>
      </c>
      <c r="C39" s="131" t="s">
        <v>4</v>
      </c>
      <c r="D39" s="131" t="s">
        <v>5</v>
      </c>
      <c r="E39" s="131" t="s">
        <v>6</v>
      </c>
      <c r="F39" s="131" t="s">
        <v>7</v>
      </c>
      <c r="G39" s="131" t="s">
        <v>8</v>
      </c>
      <c r="H39" s="131" t="s">
        <v>9</v>
      </c>
      <c r="I39" s="132" t="s">
        <v>25</v>
      </c>
      <c r="J39" s="133" t="s">
        <v>74</v>
      </c>
      <c r="K39" s="134" t="s">
        <v>75</v>
      </c>
      <c r="L39" s="135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9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7"/>
      <c r="B41" s="108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4">
        <f t="shared" si="2"/>
        <v>0</v>
      </c>
      <c r="O41" s="54"/>
      <c r="AA41" s="60"/>
      <c r="AI41" s="62"/>
      <c r="AJ41" s="62"/>
    </row>
    <row r="42" spans="1:37" x14ac:dyDescent="0.2">
      <c r="A42" s="107"/>
      <c r="B42" s="108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4">
        <f t="shared" si="2"/>
        <v>0</v>
      </c>
      <c r="Y42" s="104"/>
      <c r="Z42" s="104"/>
      <c r="AA42" s="105"/>
      <c r="AB42" s="104"/>
      <c r="AC42" s="104"/>
      <c r="AD42" s="104"/>
      <c r="AE42" s="104"/>
    </row>
    <row r="43" spans="1:37" x14ac:dyDescent="0.2">
      <c r="A43" s="139"/>
      <c r="B43" s="151"/>
      <c r="C43" s="140"/>
      <c r="D43" s="140"/>
      <c r="E43" s="140"/>
      <c r="F43" s="140"/>
      <c r="G43" s="140"/>
      <c r="H43" s="140"/>
      <c r="I43" s="140"/>
      <c r="J43" s="141"/>
      <c r="K43" s="142"/>
      <c r="L43" s="140"/>
      <c r="M43" s="4">
        <f t="shared" si="2"/>
        <v>0</v>
      </c>
      <c r="Y43" s="104"/>
      <c r="Z43" s="104"/>
      <c r="AA43" s="104"/>
      <c r="AB43" s="104"/>
      <c r="AC43" s="104"/>
      <c r="AD43" s="104"/>
      <c r="AE43" s="104"/>
    </row>
    <row r="44" spans="1:37" x14ac:dyDescent="0.2">
      <c r="A44" s="107"/>
      <c r="B44" s="14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4">
        <f t="shared" si="2"/>
        <v>0</v>
      </c>
      <c r="Y44" s="104"/>
      <c r="Z44" s="104"/>
      <c r="AA44" s="104"/>
      <c r="AB44" s="104"/>
      <c r="AC44" s="104"/>
      <c r="AD44" s="104"/>
      <c r="AE44" s="104"/>
    </row>
    <row r="45" spans="1:37" x14ac:dyDescent="0.2">
      <c r="A45" s="107"/>
      <c r="B45" s="14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4">
        <f t="shared" si="2"/>
        <v>0</v>
      </c>
      <c r="Y45" s="104"/>
      <c r="Z45" s="104"/>
      <c r="AA45" s="46"/>
      <c r="AB45" s="46"/>
      <c r="AC45" s="47"/>
      <c r="AD45" s="48"/>
      <c r="AE45" s="104"/>
    </row>
    <row r="46" spans="1:37" x14ac:dyDescent="0.2">
      <c r="A46" s="107"/>
      <c r="B46" s="14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4">
        <f t="shared" si="2"/>
        <v>0</v>
      </c>
      <c r="Y46" s="104"/>
      <c r="Z46" s="104"/>
      <c r="AA46" s="46"/>
      <c r="AB46" s="46"/>
      <c r="AC46" s="50"/>
      <c r="AD46" s="48"/>
      <c r="AE46" s="104"/>
    </row>
    <row r="47" spans="1:37" x14ac:dyDescent="0.2">
      <c r="A47" s="107"/>
      <c r="B47" s="143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4">
        <f t="shared" si="2"/>
        <v>0</v>
      </c>
      <c r="Y47" s="104"/>
      <c r="Z47" s="104"/>
      <c r="AA47" s="46"/>
      <c r="AB47" s="46"/>
      <c r="AC47" s="50"/>
      <c r="AD47" s="48"/>
      <c r="AE47" s="104"/>
    </row>
    <row r="48" spans="1:37" x14ac:dyDescent="0.2">
      <c r="A48" s="107"/>
      <c r="B48" s="143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4">
        <f t="shared" si="2"/>
        <v>0</v>
      </c>
      <c r="Y48" s="104"/>
      <c r="Z48" s="104"/>
      <c r="AA48" s="46"/>
      <c r="AB48" s="46"/>
      <c r="AC48" s="50"/>
      <c r="AD48" s="48"/>
      <c r="AE48" s="104"/>
    </row>
    <row r="49" spans="1:31" x14ac:dyDescent="0.2">
      <c r="A49" s="107"/>
      <c r="B49" s="143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4">
        <f t="shared" si="2"/>
        <v>0</v>
      </c>
      <c r="Y49" s="104"/>
      <c r="Z49" s="104"/>
      <c r="AA49" s="46"/>
      <c r="AB49" s="46"/>
      <c r="AC49" s="54"/>
      <c r="AD49" s="48"/>
      <c r="AE49" s="104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4"/>
      <c r="Z50" s="104"/>
      <c r="AA50" s="46"/>
      <c r="AB50" s="46"/>
      <c r="AC50" s="54"/>
      <c r="AD50" s="48"/>
      <c r="AE50" s="104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4"/>
      <c r="Z51" s="104"/>
      <c r="AA51" s="46"/>
      <c r="AB51" s="46"/>
      <c r="AC51" s="54"/>
      <c r="AD51" s="48"/>
      <c r="AE51" s="104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4"/>
      <c r="Z52" s="104"/>
      <c r="AA52" s="46"/>
      <c r="AB52" s="46"/>
      <c r="AC52" s="47"/>
      <c r="AD52" s="48"/>
      <c r="AE52" s="104"/>
    </row>
    <row r="53" spans="1:31" x14ac:dyDescent="0.2">
      <c r="A53" s="107" t="str">
        <f>IF(A8="","",A8)</f>
        <v>KH1 上白糖</v>
      </c>
      <c r="B53" s="144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4"/>
      <c r="Z53" s="104"/>
      <c r="AA53" s="104"/>
      <c r="AB53" s="104"/>
      <c r="AC53" s="104"/>
      <c r="AD53" s="104"/>
      <c r="AE53" s="104"/>
    </row>
    <row r="54" spans="1:31" x14ac:dyDescent="0.2">
      <c r="A54" s="107" t="str">
        <f t="shared" ref="A54:B69" si="3">IF(A9="","",A9)</f>
        <v>ﾊｲﾄﾗｲ700</v>
      </c>
      <c r="B54" s="144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4"/>
      <c r="Z54" s="104"/>
      <c r="AA54" s="104"/>
      <c r="AB54" s="104"/>
      <c r="AC54" s="104"/>
      <c r="AD54" s="104"/>
      <c r="AE54" s="104"/>
    </row>
    <row r="55" spans="1:31" x14ac:dyDescent="0.2">
      <c r="A55" s="107" t="str">
        <f t="shared" si="3"/>
        <v>ｶﾈｶﾏｰｶﾞﾘﾝSD</v>
      </c>
      <c r="B55" s="144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7" t="str">
        <f t="shared" si="3"/>
        <v>加工液全卵(殺菌)</v>
      </c>
      <c r="B56" s="144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7" t="str">
        <f t="shared" si="3"/>
        <v>ｶﾗﾒﾙ2M-25</v>
      </c>
      <c r="B57" s="144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7" t="str">
        <f t="shared" si="3"/>
        <v>FKT薄力粉</v>
      </c>
      <c r="B58" s="144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7" t="str">
        <f t="shared" si="3"/>
        <v>FT強力粉 25kg</v>
      </c>
      <c r="B59" s="144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7" t="str">
        <f t="shared" si="3"/>
        <v/>
      </c>
      <c r="B60" s="144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5" t="s">
        <v>43</v>
      </c>
    </row>
    <row r="61" spans="1:31" x14ac:dyDescent="0.2">
      <c r="A61" s="107" t="str">
        <f t="shared" si="3"/>
        <v/>
      </c>
      <c r="B61" s="144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5" t="s">
        <v>53</v>
      </c>
    </row>
    <row r="62" spans="1:31" x14ac:dyDescent="0.2">
      <c r="A62" s="107" t="str">
        <f t="shared" si="3"/>
        <v/>
      </c>
      <c r="B62" s="144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6" t="s">
        <v>54</v>
      </c>
    </row>
    <row r="63" spans="1:31" x14ac:dyDescent="0.2">
      <c r="A63" s="107" t="str">
        <f t="shared" si="3"/>
        <v/>
      </c>
      <c r="B63" s="144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7" t="str">
        <f t="shared" si="3"/>
        <v/>
      </c>
      <c r="B64" s="144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7" t="str">
        <f t="shared" si="3"/>
        <v/>
      </c>
      <c r="B65" s="144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7" t="str">
        <f t="shared" si="3"/>
        <v/>
      </c>
      <c r="B66" s="144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7" t="str">
        <f t="shared" si="3"/>
        <v/>
      </c>
      <c r="B67" s="144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7" t="str">
        <f t="shared" si="3"/>
        <v/>
      </c>
      <c r="B68" s="144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.75" x14ac:dyDescent="0.3">
      <c r="A69" s="107" t="str">
        <f t="shared" si="3"/>
        <v/>
      </c>
      <c r="B69" s="144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7" t="s">
        <v>44</v>
      </c>
    </row>
    <row r="70" spans="1:27" x14ac:dyDescent="0.2">
      <c r="A70" s="107" t="str">
        <f t="shared" ref="A70:B82" si="14">IF(A25="","",A25)</f>
        <v/>
      </c>
      <c r="B70" s="144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8" t="s">
        <v>62</v>
      </c>
    </row>
    <row r="71" spans="1:27" x14ac:dyDescent="0.2">
      <c r="A71" s="107" t="str">
        <f t="shared" si="14"/>
        <v/>
      </c>
      <c r="B71" s="144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8" t="s">
        <v>55</v>
      </c>
    </row>
    <row r="72" spans="1:27" x14ac:dyDescent="0.2">
      <c r="A72" s="107" t="str">
        <f t="shared" si="14"/>
        <v/>
      </c>
      <c r="B72" s="144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8" t="s">
        <v>56</v>
      </c>
    </row>
    <row r="73" spans="1:27" x14ac:dyDescent="0.2">
      <c r="A73" s="107" t="str">
        <f t="shared" si="14"/>
        <v/>
      </c>
      <c r="B73" s="144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8" t="s">
        <v>57</v>
      </c>
    </row>
    <row r="74" spans="1:27" x14ac:dyDescent="0.2">
      <c r="A74" s="107" t="str">
        <f t="shared" si="14"/>
        <v/>
      </c>
      <c r="B74" s="144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8" t="s">
        <v>58</v>
      </c>
    </row>
    <row r="75" spans="1:27" x14ac:dyDescent="0.2">
      <c r="A75" s="107" t="str">
        <f t="shared" si="14"/>
        <v/>
      </c>
      <c r="B75" s="144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7" t="str">
        <f t="shared" si="14"/>
        <v/>
      </c>
      <c r="B76" s="144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7" t="str">
        <f t="shared" si="14"/>
        <v/>
      </c>
      <c r="B77" s="144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7" t="str">
        <f t="shared" si="14"/>
        <v/>
      </c>
      <c r="B78" s="144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7" t="str">
        <f t="shared" si="14"/>
        <v/>
      </c>
      <c r="B79" s="144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7" t="str">
        <f t="shared" si="14"/>
        <v/>
      </c>
      <c r="B80" s="144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7" t="str">
        <f t="shared" si="14"/>
        <v/>
      </c>
      <c r="B81" s="144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7" t="str">
        <f t="shared" si="14"/>
        <v>仕込水（※ラボ吸水）</v>
      </c>
      <c r="B82" s="144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192.5</v>
      </c>
      <c r="C85" s="57">
        <f>C83-B83*B84/100</f>
        <v>48.160139999999998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25</v>
      </c>
      <c r="D86" s="67">
        <f>ROUND(+D85/B85*100,1)</f>
        <v>5.3</v>
      </c>
      <c r="E86" s="67">
        <f>ROUND(+E85/B85*100,1)</f>
        <v>14.3</v>
      </c>
      <c r="F86" s="67">
        <f>ROUND(+F85/B85*100,1)</f>
        <v>53.6</v>
      </c>
      <c r="G86" s="67">
        <f>ROUND(+G85/B85*100,1)</f>
        <v>1.3</v>
      </c>
      <c r="H86" s="67">
        <f>ROUND(+H85/B85*100,1)</f>
        <v>0.4</v>
      </c>
      <c r="I86" s="68">
        <f>ROUND(+I85/B85*100,1)</f>
        <v>68.8</v>
      </c>
      <c r="J86" s="58">
        <f>(+J85/B85*100)</f>
        <v>0.12467532467532468</v>
      </c>
      <c r="K86" s="58">
        <f>(+K85/B85*100)</f>
        <v>5.1810389610389604</v>
      </c>
      <c r="L86" s="59">
        <f>(+L85/B85*100)</f>
        <v>18.483116883116882</v>
      </c>
    </row>
    <row r="87" spans="1:12" x14ac:dyDescent="0.2">
      <c r="A87" s="9" t="s">
        <v>38</v>
      </c>
      <c r="B87" s="67">
        <f>SUM(C87:H87)</f>
        <v>99.999999999999986</v>
      </c>
      <c r="C87" s="172">
        <v>25</v>
      </c>
      <c r="D87" s="172">
        <v>5.3</v>
      </c>
      <c r="E87" s="172">
        <v>14.3</v>
      </c>
      <c r="F87" s="94">
        <f>F86+100-B86</f>
        <v>53.699999999999989</v>
      </c>
      <c r="G87" s="172">
        <v>1.3</v>
      </c>
      <c r="H87" s="172">
        <v>0.4</v>
      </c>
      <c r="I87" s="172">
        <v>68.8</v>
      </c>
      <c r="J87" s="177">
        <v>0.12467532467532468</v>
      </c>
      <c r="K87" s="177">
        <v>5.1810389610389604</v>
      </c>
      <c r="L87" s="172">
        <v>18.483116883116882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7" t="str">
        <f>IF(A41="","",A41)</f>
        <v/>
      </c>
      <c r="B91" s="144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7" t="str">
        <f t="shared" ref="A92:B99" si="27">IF(A42="","",A42)</f>
        <v/>
      </c>
      <c r="B92" s="144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7" t="str">
        <f t="shared" si="27"/>
        <v/>
      </c>
      <c r="B93" s="144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7" t="str">
        <f t="shared" si="27"/>
        <v/>
      </c>
      <c r="B94" s="144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7" t="str">
        <f t="shared" si="27"/>
        <v/>
      </c>
      <c r="B95" s="144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7" t="str">
        <f t="shared" si="27"/>
        <v/>
      </c>
      <c r="B96" s="144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7" t="str">
        <f t="shared" si="27"/>
        <v/>
      </c>
      <c r="B97" s="144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7" t="str">
        <f t="shared" si="27"/>
        <v/>
      </c>
      <c r="B98" s="144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7" t="str">
        <f t="shared" si="27"/>
        <v/>
      </c>
      <c r="B99" s="144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1" t="e">
        <f>ROUND(+I102/B102*100,0)</f>
        <v>#DIV/0!</v>
      </c>
      <c r="J103" s="100" t="e">
        <f>ROUND(+J102/B102*100,2)</f>
        <v>#DIV/0!</v>
      </c>
      <c r="K103" s="100" t="e">
        <f>ROUND(+K102/B102*100,2)</f>
        <v>#DIV/0!</v>
      </c>
      <c r="L103" s="102" t="e">
        <f>ROUND(+L102/B102*100,0)</f>
        <v>#DIV/0!</v>
      </c>
    </row>
    <row r="104" spans="1:12" ht="18.75" thickTop="1" thickBot="1" x14ac:dyDescent="0.25">
      <c r="A104" s="72" t="s">
        <v>38</v>
      </c>
      <c r="B104" s="73" t="e">
        <f>SUM(C104:H104)</f>
        <v>#DIV/0!</v>
      </c>
      <c r="C104" s="173" t="e">
        <v>#DIV/0!</v>
      </c>
      <c r="D104" s="173" t="e">
        <v>#DIV/0!</v>
      </c>
      <c r="E104" s="173" t="e">
        <v>#DIV/0!</v>
      </c>
      <c r="F104" s="74" t="e">
        <f>F103+100-B103</f>
        <v>#DIV/0!</v>
      </c>
      <c r="G104" s="174" t="e">
        <v>#DIV/0!</v>
      </c>
      <c r="H104" s="174" t="e">
        <v>#DIV/0!</v>
      </c>
      <c r="I104" s="175" t="e">
        <v>#DIV/0!</v>
      </c>
      <c r="J104" s="176" t="e">
        <v>#DIV/0!</v>
      </c>
      <c r="K104" s="176" t="e">
        <v>#DIV/0!</v>
      </c>
      <c r="L104" s="175" t="e">
        <v>#DIV/0!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8" t="s">
        <v>77</v>
      </c>
      <c r="B106" s="149">
        <v>0</v>
      </c>
      <c r="C106" s="150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10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1" t="s">
        <v>47</v>
      </c>
      <c r="D112" s="111" t="s">
        <v>17</v>
      </c>
      <c r="E112" s="111" t="s">
        <v>18</v>
      </c>
      <c r="F112" s="111" t="s">
        <v>20</v>
      </c>
      <c r="G112" s="111" t="s">
        <v>21</v>
      </c>
      <c r="H112" s="111" t="s">
        <v>12</v>
      </c>
      <c r="I112" s="111" t="s">
        <v>48</v>
      </c>
      <c r="J112" s="111" t="s">
        <v>49</v>
      </c>
      <c r="K112" s="111" t="s">
        <v>64</v>
      </c>
      <c r="L112" s="3"/>
    </row>
    <row r="113" spans="1:12" x14ac:dyDescent="0.2">
      <c r="A113" s="2"/>
      <c r="B113" s="87"/>
      <c r="C113" s="112" t="e">
        <f>AG14</f>
        <v>#DIV/0!</v>
      </c>
      <c r="D113" s="113" t="e">
        <f>AG15</f>
        <v>#DIV/0!</v>
      </c>
      <c r="E113" s="113" t="e">
        <f>AG16</f>
        <v>#DIV/0!</v>
      </c>
      <c r="F113" s="114" t="e">
        <f>AG17</f>
        <v>#DIV/0!</v>
      </c>
      <c r="G113" s="115" t="e">
        <f>AG20</f>
        <v>#DIV/0!</v>
      </c>
      <c r="H113" s="116" t="e">
        <f>AG25</f>
        <v>#DIV/0!</v>
      </c>
      <c r="I113" s="115" t="e">
        <f>IF(AG13&gt;=100,AG26,IF(AE26&lt;0.3,0,AG26))</f>
        <v>#DIV/0!</v>
      </c>
      <c r="J113" s="117" t="e">
        <f>IF(AE27&lt;5,0,AG27)</f>
        <v>#DIV/0!</v>
      </c>
      <c r="K113" s="156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8" t="s">
        <v>50</v>
      </c>
      <c r="D114" s="119" t="s">
        <v>51</v>
      </c>
      <c r="E114" s="119" t="s">
        <v>51</v>
      </c>
      <c r="F114" s="120" t="s">
        <v>51</v>
      </c>
      <c r="G114" s="119" t="s">
        <v>51</v>
      </c>
      <c r="H114" s="120" t="s">
        <v>51</v>
      </c>
      <c r="I114" s="119" t="s">
        <v>51</v>
      </c>
      <c r="J114" s="121" t="s">
        <v>52</v>
      </c>
      <c r="K114" s="157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8"/>
    </row>
    <row r="118" spans="1:12" x14ac:dyDescent="0.2">
      <c r="A118" s="98"/>
    </row>
    <row r="119" spans="1:12" x14ac:dyDescent="0.2">
      <c r="A119" s="122"/>
    </row>
    <row r="120" spans="1:12" x14ac:dyDescent="0.2">
      <c r="A120" s="98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2" r:id="rId4" name="cmdClear104">
          <controlPr defaultSize="0" autoLine="0" autoPict="0" r:id="rId5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12292" r:id="rId4" name="cmdClear104"/>
      </mc:Fallback>
    </mc:AlternateContent>
    <mc:AlternateContent xmlns:mc="http://schemas.openxmlformats.org/markup-compatibility/2006">
      <mc:Choice Requires="x14">
        <control shapeId="12291" r:id="rId6" name="cmdCopy104">
          <controlPr defaultSize="0" autoLine="0" autoPict="0" r:id="rId7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12291" r:id="rId6" name="cmdCopy104"/>
      </mc:Fallback>
    </mc:AlternateContent>
    <mc:AlternateContent xmlns:mc="http://schemas.openxmlformats.org/markup-compatibility/2006">
      <mc:Choice Requires="x14">
        <control shapeId="1229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12290" r:id="rId8" name="cmdClear87"/>
      </mc:Fallback>
    </mc:AlternateContent>
    <mc:AlternateContent xmlns:mc="http://schemas.openxmlformats.org/markup-compatibility/2006">
      <mc:Choice Requires="x14">
        <control shapeId="12289" r:id="rId10" name="cmdCopy87">
          <controlPr defaultSize="0" autoLine="0" autoPict="0" r:id="rId11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12289" r:id="rId10" name="cmdCopy8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共有　システム開発　</cp:lastModifiedBy>
  <cp:lastPrinted>2024-06-07T04:07:41Z</cp:lastPrinted>
  <dcterms:created xsi:type="dcterms:W3CDTF">1999-12-02T04:43:04Z</dcterms:created>
  <dcterms:modified xsi:type="dcterms:W3CDTF">2026-04-23T09:23:54Z</dcterms:modified>
</cp:coreProperties>
</file>