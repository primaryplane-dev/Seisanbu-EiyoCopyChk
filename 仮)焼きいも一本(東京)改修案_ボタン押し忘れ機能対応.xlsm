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01_Active\01_フジパン生産\0113_栄養計算フォーマット\bin\"/>
    </mc:Choice>
  </mc:AlternateContent>
  <bookViews>
    <workbookView xWindow="-12" yWindow="-12" windowWidth="10260" windowHeight="8148" tabRatio="813"/>
  </bookViews>
  <sheets>
    <sheet name="食物繊維入り" sheetId="15" r:id="rId1"/>
    <sheet name="皮" sheetId="27" r:id="rId2"/>
  </sheets>
  <functionGroups builtInGroupCount="18"/>
  <definedNames>
    <definedName name="_xlnm.Print_Area" localSheetId="0">食物繊維入り!$AA$2:$AJ$41</definedName>
    <definedName name="_xlnm.Print_Area" localSheetId="1">皮!$AA$2:$AJ$41</definedName>
  </definedNames>
  <calcPr calcId="162913"/>
</workbook>
</file>

<file path=xl/calcChain.xml><?xml version="1.0" encoding="utf-8"?>
<calcChain xmlns="http://schemas.openxmlformats.org/spreadsheetml/2006/main">
  <c r="D42" i="15" l="1"/>
  <c r="E42" i="15"/>
  <c r="G42" i="15"/>
  <c r="H42" i="15"/>
  <c r="I42" i="15"/>
  <c r="J42" i="15"/>
  <c r="K42" i="15"/>
  <c r="L42" i="15"/>
  <c r="C42" i="15"/>
  <c r="C106" i="27"/>
  <c r="L99" i="27"/>
  <c r="D99" i="27"/>
  <c r="B99" i="27"/>
  <c r="I99" i="27" s="1"/>
  <c r="A99" i="27"/>
  <c r="B98" i="27"/>
  <c r="I98" i="27" s="1"/>
  <c r="A98" i="27"/>
  <c r="L97" i="27"/>
  <c r="B97" i="27"/>
  <c r="I97" i="27" s="1"/>
  <c r="A97" i="27"/>
  <c r="B96" i="27"/>
  <c r="I96" i="27" s="1"/>
  <c r="A96" i="27"/>
  <c r="B95" i="27"/>
  <c r="I95" i="27" s="1"/>
  <c r="A95" i="27"/>
  <c r="B94" i="27"/>
  <c r="I94" i="27" s="1"/>
  <c r="A94" i="27"/>
  <c r="B93" i="27"/>
  <c r="I93" i="27" s="1"/>
  <c r="A93" i="27"/>
  <c r="B92" i="27"/>
  <c r="I92" i="27" s="1"/>
  <c r="A92" i="27"/>
  <c r="B91" i="27"/>
  <c r="I91" i="27" s="1"/>
  <c r="A91" i="27"/>
  <c r="B90" i="27"/>
  <c r="B82" i="27"/>
  <c r="K82" i="27" s="1"/>
  <c r="A82" i="27"/>
  <c r="B81" i="27"/>
  <c r="K81" i="27" s="1"/>
  <c r="A81" i="27"/>
  <c r="B80" i="27"/>
  <c r="K80" i="27" s="1"/>
  <c r="A80" i="27"/>
  <c r="B79" i="27"/>
  <c r="K79" i="27" s="1"/>
  <c r="A79" i="27"/>
  <c r="B78" i="27"/>
  <c r="K78" i="27" s="1"/>
  <c r="A78" i="27"/>
  <c r="B77" i="27"/>
  <c r="K77" i="27" s="1"/>
  <c r="A77" i="27"/>
  <c r="B76" i="27"/>
  <c r="K76" i="27" s="1"/>
  <c r="A76" i="27"/>
  <c r="B75" i="27"/>
  <c r="K75" i="27" s="1"/>
  <c r="A75" i="27"/>
  <c r="B74" i="27"/>
  <c r="K74" i="27" s="1"/>
  <c r="A74" i="27"/>
  <c r="B73" i="27"/>
  <c r="K73" i="27" s="1"/>
  <c r="A73" i="27"/>
  <c r="B72" i="27"/>
  <c r="K72" i="27" s="1"/>
  <c r="A72" i="27"/>
  <c r="B71" i="27"/>
  <c r="K71" i="27" s="1"/>
  <c r="A71" i="27"/>
  <c r="B70" i="27"/>
  <c r="K70" i="27" s="1"/>
  <c r="A70" i="27"/>
  <c r="B69" i="27"/>
  <c r="K69" i="27" s="1"/>
  <c r="A69" i="27"/>
  <c r="B68" i="27"/>
  <c r="K68" i="27" s="1"/>
  <c r="A68" i="27"/>
  <c r="B67" i="27"/>
  <c r="K67" i="27" s="1"/>
  <c r="A67" i="27"/>
  <c r="B66" i="27"/>
  <c r="K66" i="27" s="1"/>
  <c r="A66" i="27"/>
  <c r="B65" i="27"/>
  <c r="K65" i="27" s="1"/>
  <c r="A65" i="27"/>
  <c r="B64" i="27"/>
  <c r="K64" i="27" s="1"/>
  <c r="A64" i="27"/>
  <c r="B63" i="27"/>
  <c r="K63" i="27" s="1"/>
  <c r="A63" i="27"/>
  <c r="B62" i="27"/>
  <c r="K62" i="27" s="1"/>
  <c r="A62" i="27"/>
  <c r="B61" i="27"/>
  <c r="K61" i="27" s="1"/>
  <c r="A61" i="27"/>
  <c r="B60" i="27"/>
  <c r="K60" i="27" s="1"/>
  <c r="A60" i="27"/>
  <c r="B59" i="27"/>
  <c r="K59" i="27" s="1"/>
  <c r="A59" i="27"/>
  <c r="B58" i="27"/>
  <c r="K58" i="27" s="1"/>
  <c r="A58" i="27"/>
  <c r="B57" i="27"/>
  <c r="K57" i="27" s="1"/>
  <c r="A57" i="27"/>
  <c r="B56" i="27"/>
  <c r="K56" i="27" s="1"/>
  <c r="A56" i="27"/>
  <c r="B55" i="27"/>
  <c r="K55" i="27" s="1"/>
  <c r="A55" i="27"/>
  <c r="B54" i="27"/>
  <c r="K54" i="27" s="1"/>
  <c r="A54" i="27"/>
  <c r="B53" i="27"/>
  <c r="K53" i="27" s="1"/>
  <c r="A53" i="27"/>
  <c r="M49" i="27"/>
  <c r="M48" i="27"/>
  <c r="M47" i="27"/>
  <c r="M46" i="27"/>
  <c r="M45" i="27"/>
  <c r="M44" i="27"/>
  <c r="M43" i="27"/>
  <c r="M42" i="27"/>
  <c r="M41" i="27"/>
  <c r="M40" i="27"/>
  <c r="AA38" i="27"/>
  <c r="AA37" i="27"/>
  <c r="M37" i="27"/>
  <c r="AA36" i="27"/>
  <c r="M36" i="27"/>
  <c r="AE35" i="27"/>
  <c r="M35" i="27"/>
  <c r="M34" i="27"/>
  <c r="M33" i="27"/>
  <c r="M32" i="27"/>
  <c r="M31" i="27"/>
  <c r="M30" i="27"/>
  <c r="M29" i="27"/>
  <c r="M28" i="27"/>
  <c r="AE27" i="27"/>
  <c r="J113" i="27" s="1"/>
  <c r="M27" i="27"/>
  <c r="AE26" i="27"/>
  <c r="M26" i="27"/>
  <c r="AE25" i="27"/>
  <c r="M25" i="27"/>
  <c r="AE24" i="27"/>
  <c r="M24" i="27"/>
  <c r="AE23" i="27"/>
  <c r="M23" i="27"/>
  <c r="AE22" i="27"/>
  <c r="AK20" i="27" s="1"/>
  <c r="M22" i="27"/>
  <c r="M21" i="27"/>
  <c r="M20" i="27"/>
  <c r="AE19" i="27"/>
  <c r="M19" i="27"/>
  <c r="M18" i="27"/>
  <c r="M17" i="27"/>
  <c r="AE16" i="27"/>
  <c r="M16" i="27"/>
  <c r="AE15" i="27"/>
  <c r="M15" i="27"/>
  <c r="AA14" i="27"/>
  <c r="M14" i="27"/>
  <c r="M13" i="27"/>
  <c r="AG12" i="27"/>
  <c r="E111" i="27" s="1"/>
  <c r="M12" i="27"/>
  <c r="M11" i="27"/>
  <c r="M10" i="27"/>
  <c r="M9" i="27"/>
  <c r="M8" i="27"/>
  <c r="AB7" i="27"/>
  <c r="AI5" i="27"/>
  <c r="H93" i="27" l="1"/>
  <c r="L94" i="27"/>
  <c r="C98" i="27"/>
  <c r="L93" i="27"/>
  <c r="D98" i="27"/>
  <c r="D92" i="27"/>
  <c r="H98" i="27"/>
  <c r="D93" i="27"/>
  <c r="H92" i="27"/>
  <c r="D95" i="27"/>
  <c r="L92" i="27"/>
  <c r="L95" i="27"/>
  <c r="H99" i="27"/>
  <c r="D91" i="27"/>
  <c r="H91" i="27"/>
  <c r="D96" i="27"/>
  <c r="G98" i="27"/>
  <c r="H96" i="27"/>
  <c r="D94" i="27"/>
  <c r="L96" i="27"/>
  <c r="K98" i="27"/>
  <c r="L91" i="27"/>
  <c r="H94" i="27"/>
  <c r="L98" i="27"/>
  <c r="D97" i="27"/>
  <c r="H97" i="27"/>
  <c r="C99" i="27"/>
  <c r="B100" i="27"/>
  <c r="B102" i="27" s="1"/>
  <c r="AG13" i="27" s="1"/>
  <c r="AG22" i="27" s="1"/>
  <c r="H95" i="27"/>
  <c r="G99" i="27"/>
  <c r="H90" i="27"/>
  <c r="D90" i="27"/>
  <c r="L90" i="27"/>
  <c r="J57" i="27"/>
  <c r="K85" i="27"/>
  <c r="K83" i="27"/>
  <c r="F53" i="27"/>
  <c r="J55" i="27"/>
  <c r="J56" i="27"/>
  <c r="F59" i="27"/>
  <c r="J59" i="27"/>
  <c r="F60" i="27"/>
  <c r="J60" i="27"/>
  <c r="F61" i="27"/>
  <c r="J61" i="27"/>
  <c r="F62" i="27"/>
  <c r="J62" i="27"/>
  <c r="F63" i="27"/>
  <c r="J63" i="27"/>
  <c r="F64" i="27"/>
  <c r="J64" i="27"/>
  <c r="F65" i="27"/>
  <c r="J65" i="27"/>
  <c r="F66" i="27"/>
  <c r="J66" i="27"/>
  <c r="F67" i="27"/>
  <c r="J67" i="27"/>
  <c r="F68" i="27"/>
  <c r="J68" i="27"/>
  <c r="F69" i="27"/>
  <c r="J69" i="27"/>
  <c r="F70" i="27"/>
  <c r="J70" i="27"/>
  <c r="F71" i="27"/>
  <c r="J71" i="27"/>
  <c r="F72" i="27"/>
  <c r="J72" i="27"/>
  <c r="F73" i="27"/>
  <c r="J73" i="27"/>
  <c r="F74" i="27"/>
  <c r="J74" i="27"/>
  <c r="F75" i="27"/>
  <c r="J75" i="27"/>
  <c r="F76" i="27"/>
  <c r="J76" i="27"/>
  <c r="F77" i="27"/>
  <c r="J77" i="27"/>
  <c r="F78" i="27"/>
  <c r="J78" i="27"/>
  <c r="F79" i="27"/>
  <c r="J79" i="27"/>
  <c r="F80" i="27"/>
  <c r="J80" i="27"/>
  <c r="F81" i="27"/>
  <c r="J81" i="27"/>
  <c r="F82" i="27"/>
  <c r="J82" i="27"/>
  <c r="AG20" i="27"/>
  <c r="G113" i="27" s="1"/>
  <c r="J53" i="27"/>
  <c r="F54" i="27"/>
  <c r="F55" i="27"/>
  <c r="F58" i="27"/>
  <c r="E53" i="27"/>
  <c r="I53" i="27"/>
  <c r="E54" i="27"/>
  <c r="I54" i="27"/>
  <c r="E55" i="27"/>
  <c r="I55" i="27"/>
  <c r="E56" i="27"/>
  <c r="I56" i="27"/>
  <c r="E57" i="27"/>
  <c r="I57" i="27"/>
  <c r="E58" i="27"/>
  <c r="I58" i="27"/>
  <c r="E59" i="27"/>
  <c r="I59" i="27"/>
  <c r="E60" i="27"/>
  <c r="I60" i="27"/>
  <c r="E61" i="27"/>
  <c r="I61" i="27"/>
  <c r="E62" i="27"/>
  <c r="I62" i="27"/>
  <c r="E63" i="27"/>
  <c r="I63" i="27"/>
  <c r="E64" i="27"/>
  <c r="I64" i="27"/>
  <c r="E65" i="27"/>
  <c r="I65" i="27"/>
  <c r="E66" i="27"/>
  <c r="I66" i="27"/>
  <c r="E67" i="27"/>
  <c r="I67" i="27"/>
  <c r="E68" i="27"/>
  <c r="I68" i="27"/>
  <c r="E69" i="27"/>
  <c r="I69" i="27"/>
  <c r="E70" i="27"/>
  <c r="I70" i="27"/>
  <c r="E71" i="27"/>
  <c r="I71" i="27"/>
  <c r="E72" i="27"/>
  <c r="I72" i="27"/>
  <c r="E73" i="27"/>
  <c r="I73" i="27"/>
  <c r="E74" i="27"/>
  <c r="I74" i="27"/>
  <c r="E75" i="27"/>
  <c r="I75" i="27"/>
  <c r="E76" i="27"/>
  <c r="I76" i="27"/>
  <c r="E77" i="27"/>
  <c r="I77" i="27"/>
  <c r="E78" i="27"/>
  <c r="I78" i="27"/>
  <c r="E79" i="27"/>
  <c r="I79" i="27"/>
  <c r="E80" i="27"/>
  <c r="I80" i="27"/>
  <c r="E81" i="27"/>
  <c r="I81" i="27"/>
  <c r="E82" i="27"/>
  <c r="I82" i="27"/>
  <c r="B83" i="27"/>
  <c r="B85" i="27" s="1"/>
  <c r="C90" i="27"/>
  <c r="G90" i="27"/>
  <c r="K90" i="27"/>
  <c r="C91" i="27"/>
  <c r="G91" i="27"/>
  <c r="K91" i="27"/>
  <c r="C92" i="27"/>
  <c r="G92" i="27"/>
  <c r="K92" i="27"/>
  <c r="C93" i="27"/>
  <c r="G93" i="27"/>
  <c r="K93" i="27"/>
  <c r="C94" i="27"/>
  <c r="G94" i="27"/>
  <c r="K94" i="27"/>
  <c r="C95" i="27"/>
  <c r="G95" i="27"/>
  <c r="K95" i="27"/>
  <c r="C96" i="27"/>
  <c r="G96" i="27"/>
  <c r="K96" i="27"/>
  <c r="C97" i="27"/>
  <c r="G97" i="27"/>
  <c r="K97" i="27"/>
  <c r="K99" i="27"/>
  <c r="AE20" i="27"/>
  <c r="D53" i="27"/>
  <c r="H53" i="27"/>
  <c r="L53" i="27"/>
  <c r="D54" i="27"/>
  <c r="H54" i="27"/>
  <c r="L54" i="27"/>
  <c r="D55" i="27"/>
  <c r="H55" i="27"/>
  <c r="L55" i="27"/>
  <c r="D56" i="27"/>
  <c r="H56" i="27"/>
  <c r="L56" i="27"/>
  <c r="D57" i="27"/>
  <c r="H57" i="27"/>
  <c r="L57" i="27"/>
  <c r="D58" i="27"/>
  <c r="H58" i="27"/>
  <c r="L58" i="27"/>
  <c r="D59" i="27"/>
  <c r="H59" i="27"/>
  <c r="L59" i="27"/>
  <c r="D60" i="27"/>
  <c r="H60" i="27"/>
  <c r="L60" i="27"/>
  <c r="D61" i="27"/>
  <c r="H61" i="27"/>
  <c r="L61" i="27"/>
  <c r="D62" i="27"/>
  <c r="H62" i="27"/>
  <c r="L62" i="27"/>
  <c r="D63" i="27"/>
  <c r="H63" i="27"/>
  <c r="L63" i="27"/>
  <c r="D64" i="27"/>
  <c r="H64" i="27"/>
  <c r="L64" i="27"/>
  <c r="D65" i="27"/>
  <c r="H65" i="27"/>
  <c r="L65" i="27"/>
  <c r="D66" i="27"/>
  <c r="H66" i="27"/>
  <c r="L66" i="27"/>
  <c r="D67" i="27"/>
  <c r="H67" i="27"/>
  <c r="L67" i="27"/>
  <c r="D68" i="27"/>
  <c r="H68" i="27"/>
  <c r="L68" i="27"/>
  <c r="D69" i="27"/>
  <c r="H69" i="27"/>
  <c r="L69" i="27"/>
  <c r="D70" i="27"/>
  <c r="H70" i="27"/>
  <c r="L70" i="27"/>
  <c r="D71" i="27"/>
  <c r="H71" i="27"/>
  <c r="L71" i="27"/>
  <c r="D72" i="27"/>
  <c r="H72" i="27"/>
  <c r="L72" i="27"/>
  <c r="D73" i="27"/>
  <c r="H73" i="27"/>
  <c r="L73" i="27"/>
  <c r="D74" i="27"/>
  <c r="H74" i="27"/>
  <c r="L74" i="27"/>
  <c r="D75" i="27"/>
  <c r="H75" i="27"/>
  <c r="L75" i="27"/>
  <c r="D76" i="27"/>
  <c r="H76" i="27"/>
  <c r="L76" i="27"/>
  <c r="D77" i="27"/>
  <c r="H77" i="27"/>
  <c r="L77" i="27"/>
  <c r="D78" i="27"/>
  <c r="H78" i="27"/>
  <c r="L78" i="27"/>
  <c r="D79" i="27"/>
  <c r="H79" i="27"/>
  <c r="L79" i="27"/>
  <c r="D80" i="27"/>
  <c r="H80" i="27"/>
  <c r="L80" i="27"/>
  <c r="D81" i="27"/>
  <c r="H81" i="27"/>
  <c r="L81" i="27"/>
  <c r="D82" i="27"/>
  <c r="H82" i="27"/>
  <c r="L82" i="27"/>
  <c r="J90" i="27"/>
  <c r="F91" i="27"/>
  <c r="J91" i="27"/>
  <c r="F92" i="27"/>
  <c r="J92" i="27"/>
  <c r="F93" i="27"/>
  <c r="J93" i="27"/>
  <c r="F94" i="27"/>
  <c r="J94" i="27"/>
  <c r="F95" i="27"/>
  <c r="J95" i="27"/>
  <c r="F96" i="27"/>
  <c r="J96" i="27"/>
  <c r="F97" i="27"/>
  <c r="J97" i="27"/>
  <c r="F98" i="27"/>
  <c r="J98" i="27"/>
  <c r="F99" i="27"/>
  <c r="J99" i="27"/>
  <c r="J54" i="27"/>
  <c r="F56" i="27"/>
  <c r="F57" i="27"/>
  <c r="J58" i="27"/>
  <c r="C53" i="27"/>
  <c r="G53" i="27"/>
  <c r="C54" i="27"/>
  <c r="G54" i="27"/>
  <c r="C55" i="27"/>
  <c r="G55" i="27"/>
  <c r="C56" i="27"/>
  <c r="G56" i="27"/>
  <c r="C57" i="27"/>
  <c r="G57" i="27"/>
  <c r="C58" i="27"/>
  <c r="G58" i="27"/>
  <c r="C59" i="27"/>
  <c r="G59" i="27"/>
  <c r="C60" i="27"/>
  <c r="G60" i="27"/>
  <c r="C61" i="27"/>
  <c r="G61" i="27"/>
  <c r="C62" i="27"/>
  <c r="G62" i="27"/>
  <c r="C63" i="27"/>
  <c r="G63" i="27"/>
  <c r="C64" i="27"/>
  <c r="G64" i="27"/>
  <c r="C65" i="27"/>
  <c r="G65" i="27"/>
  <c r="C66" i="27"/>
  <c r="G66" i="27"/>
  <c r="C67" i="27"/>
  <c r="G67" i="27"/>
  <c r="C68" i="27"/>
  <c r="G68" i="27"/>
  <c r="C69" i="27"/>
  <c r="G69" i="27"/>
  <c r="C70" i="27"/>
  <c r="G70" i="27"/>
  <c r="C71" i="27"/>
  <c r="G71" i="27"/>
  <c r="C72" i="27"/>
  <c r="G72" i="27"/>
  <c r="C73" i="27"/>
  <c r="G73" i="27"/>
  <c r="C74" i="27"/>
  <c r="G74" i="27"/>
  <c r="C75" i="27"/>
  <c r="G75" i="27"/>
  <c r="C76" i="27"/>
  <c r="G76" i="27"/>
  <c r="C77" i="27"/>
  <c r="G77" i="27"/>
  <c r="C78" i="27"/>
  <c r="G78" i="27"/>
  <c r="C79" i="27"/>
  <c r="G79" i="27"/>
  <c r="C80" i="27"/>
  <c r="G80" i="27"/>
  <c r="C81" i="27"/>
  <c r="G81" i="27"/>
  <c r="C82" i="27"/>
  <c r="G82" i="27"/>
  <c r="E90" i="27"/>
  <c r="I90" i="27"/>
  <c r="E91" i="27"/>
  <c r="E92" i="27"/>
  <c r="E93" i="27"/>
  <c r="E94" i="27"/>
  <c r="E95" i="27"/>
  <c r="E96" i="27"/>
  <c r="E97" i="27"/>
  <c r="E98" i="27"/>
  <c r="E99" i="27"/>
  <c r="AG12" i="15"/>
  <c r="E111" i="15" s="1"/>
  <c r="AB7" i="15"/>
  <c r="D102" i="27" l="1"/>
  <c r="AG23" i="27"/>
  <c r="AG19" i="27"/>
  <c r="AG24" i="27"/>
  <c r="AG27" i="27"/>
  <c r="D103" i="27"/>
  <c r="D100" i="27"/>
  <c r="AG16" i="27"/>
  <c r="E113" i="27" s="1"/>
  <c r="L102" i="27"/>
  <c r="L103" i="27" s="1"/>
  <c r="AG25" i="27"/>
  <c r="H113" i="27" s="1"/>
  <c r="H102" i="27"/>
  <c r="H103" i="27" s="1"/>
  <c r="AG26" i="27"/>
  <c r="Z26" i="27" s="1"/>
  <c r="AG15" i="27"/>
  <c r="D113" i="27" s="1"/>
  <c r="H100" i="27"/>
  <c r="L100" i="27"/>
  <c r="D83" i="27"/>
  <c r="D85" i="27"/>
  <c r="D86" i="27" s="1"/>
  <c r="G102" i="27"/>
  <c r="G103" i="27" s="1"/>
  <c r="G100" i="27"/>
  <c r="E102" i="27"/>
  <c r="E103" i="27" s="1"/>
  <c r="E100" i="27"/>
  <c r="H83" i="27"/>
  <c r="H85" i="27"/>
  <c r="H86" i="27" s="1"/>
  <c r="K102" i="27"/>
  <c r="K103" i="27" s="1"/>
  <c r="K100" i="27"/>
  <c r="C83" i="27"/>
  <c r="C85" i="27" s="1"/>
  <c r="C86" i="27" s="1"/>
  <c r="K86" i="27"/>
  <c r="I102" i="27"/>
  <c r="I103" i="27" s="1"/>
  <c r="I100" i="27"/>
  <c r="G85" i="27"/>
  <c r="G86" i="27" s="1"/>
  <c r="G83" i="27"/>
  <c r="J100" i="27"/>
  <c r="J102" i="27"/>
  <c r="J103" i="27" s="1"/>
  <c r="L83" i="27"/>
  <c r="L85" i="27"/>
  <c r="L86" i="27" s="1"/>
  <c r="E85" i="27"/>
  <c r="E86" i="27" s="1"/>
  <c r="E83" i="27"/>
  <c r="J85" i="27"/>
  <c r="J86" i="27" s="1"/>
  <c r="J83" i="27"/>
  <c r="F85" i="27"/>
  <c r="F86" i="27" s="1"/>
  <c r="F83" i="27"/>
  <c r="I113" i="27"/>
  <c r="I85" i="27"/>
  <c r="I86" i="27" s="1"/>
  <c r="I83" i="27"/>
  <c r="C100" i="27"/>
  <c r="C102" i="27" s="1"/>
  <c r="C103" i="27" s="1"/>
  <c r="C106" i="15"/>
  <c r="Z25" i="27" l="1"/>
  <c r="B86" i="27"/>
  <c r="F87" i="27" s="1"/>
  <c r="F42" i="15" s="1"/>
  <c r="AA38" i="15"/>
  <c r="AA37" i="15"/>
  <c r="AA36" i="15"/>
  <c r="B87" i="27" l="1"/>
  <c r="F90" i="27"/>
  <c r="F102" i="27" s="1"/>
  <c r="F103" i="27" s="1"/>
  <c r="A92" i="15"/>
  <c r="B92" i="15"/>
  <c r="A93" i="15"/>
  <c r="B93" i="15"/>
  <c r="A94" i="15"/>
  <c r="B94" i="15"/>
  <c r="A95" i="15"/>
  <c r="B95" i="15"/>
  <c r="A96" i="15"/>
  <c r="B96" i="15"/>
  <c r="A97" i="15"/>
  <c r="B97" i="15"/>
  <c r="A98" i="15"/>
  <c r="B98" i="15"/>
  <c r="A99" i="15"/>
  <c r="B99" i="15"/>
  <c r="B91" i="15"/>
  <c r="A91" i="15"/>
  <c r="B82" i="15"/>
  <c r="A54" i="15"/>
  <c r="B54" i="15"/>
  <c r="A55" i="15"/>
  <c r="B55" i="15"/>
  <c r="A56" i="15"/>
  <c r="B56" i="15"/>
  <c r="A57" i="15"/>
  <c r="B57" i="15"/>
  <c r="A58" i="15"/>
  <c r="B58" i="15"/>
  <c r="A59" i="15"/>
  <c r="B59" i="15"/>
  <c r="A60" i="15"/>
  <c r="B60" i="15"/>
  <c r="A61" i="15"/>
  <c r="B61" i="15"/>
  <c r="A62" i="15"/>
  <c r="B62" i="15"/>
  <c r="A63" i="15"/>
  <c r="B63" i="15"/>
  <c r="A64" i="15"/>
  <c r="B64" i="15"/>
  <c r="A65" i="15"/>
  <c r="B65" i="15"/>
  <c r="A66" i="15"/>
  <c r="B66" i="15"/>
  <c r="A67" i="15"/>
  <c r="B67" i="15"/>
  <c r="A68" i="15"/>
  <c r="B68" i="15"/>
  <c r="A69" i="15"/>
  <c r="B69" i="15"/>
  <c r="A70" i="15"/>
  <c r="B70" i="15"/>
  <c r="A71" i="15"/>
  <c r="B71" i="15"/>
  <c r="A72" i="15"/>
  <c r="B72" i="15"/>
  <c r="A73" i="15"/>
  <c r="B73" i="15"/>
  <c r="A74" i="15"/>
  <c r="B74" i="15"/>
  <c r="A75" i="15"/>
  <c r="B75" i="15"/>
  <c r="A76" i="15"/>
  <c r="B76" i="15"/>
  <c r="A77" i="15"/>
  <c r="B77" i="15"/>
  <c r="A78" i="15"/>
  <c r="B78" i="15"/>
  <c r="A79" i="15"/>
  <c r="B79" i="15"/>
  <c r="A80" i="15"/>
  <c r="B80" i="15"/>
  <c r="A81" i="15"/>
  <c r="B81" i="15"/>
  <c r="A82" i="15"/>
  <c r="B53" i="15"/>
  <c r="A53" i="15"/>
  <c r="F100" i="27" l="1"/>
  <c r="B103" i="27"/>
  <c r="F104" i="27" s="1"/>
  <c r="AA14" i="15"/>
  <c r="F106" i="27" l="1"/>
  <c r="AE17" i="27" s="1"/>
  <c r="AE18" i="27"/>
  <c r="AG18" i="27" s="1"/>
  <c r="C108" i="27"/>
  <c r="AE14" i="27" s="1"/>
  <c r="B104" i="27"/>
  <c r="AI5" i="15"/>
  <c r="AG17" i="27" l="1"/>
  <c r="F113" i="27" s="1"/>
  <c r="K113" i="27"/>
  <c r="AG14" i="27"/>
  <c r="C113" i="27" s="1"/>
  <c r="AE26" i="15"/>
  <c r="AE24" i="15"/>
  <c r="AE19" i="15"/>
  <c r="AE16" i="15"/>
  <c r="AE35" i="15"/>
  <c r="C82" i="15"/>
  <c r="C54" i="15"/>
  <c r="D54" i="15"/>
  <c r="E54" i="15"/>
  <c r="F54" i="15"/>
  <c r="G54" i="15"/>
  <c r="H54" i="15"/>
  <c r="I54" i="15"/>
  <c r="J54" i="15"/>
  <c r="K54" i="15"/>
  <c r="L54" i="15"/>
  <c r="C55" i="15"/>
  <c r="D55" i="15"/>
  <c r="E55" i="15"/>
  <c r="F55" i="15"/>
  <c r="G55" i="15"/>
  <c r="H55" i="15"/>
  <c r="I55" i="15"/>
  <c r="J55" i="15"/>
  <c r="K55" i="15"/>
  <c r="L55" i="15"/>
  <c r="C56" i="15"/>
  <c r="D56" i="15"/>
  <c r="E56" i="15"/>
  <c r="F56" i="15"/>
  <c r="G56" i="15"/>
  <c r="H56" i="15"/>
  <c r="I56" i="15"/>
  <c r="J56" i="15"/>
  <c r="K56" i="15"/>
  <c r="L56" i="15"/>
  <c r="C57" i="15"/>
  <c r="D57" i="15"/>
  <c r="E57" i="15"/>
  <c r="F57" i="15"/>
  <c r="G57" i="15"/>
  <c r="H57" i="15"/>
  <c r="I57" i="15"/>
  <c r="J57" i="15"/>
  <c r="K57" i="15"/>
  <c r="L57" i="15"/>
  <c r="C58" i="15"/>
  <c r="D58" i="15"/>
  <c r="E58" i="15"/>
  <c r="F58" i="15"/>
  <c r="G58" i="15"/>
  <c r="H58" i="15"/>
  <c r="I58" i="15"/>
  <c r="J58" i="15"/>
  <c r="K58" i="15"/>
  <c r="L58" i="15"/>
  <c r="C59" i="15"/>
  <c r="D59" i="15"/>
  <c r="E59" i="15"/>
  <c r="F59" i="15"/>
  <c r="G59" i="15"/>
  <c r="H59" i="15"/>
  <c r="I59" i="15"/>
  <c r="J59" i="15"/>
  <c r="K59" i="15"/>
  <c r="L59" i="15"/>
  <c r="C60" i="15"/>
  <c r="D60" i="15"/>
  <c r="E60" i="15"/>
  <c r="F60" i="15"/>
  <c r="G60" i="15"/>
  <c r="H60" i="15"/>
  <c r="I60" i="15"/>
  <c r="J60" i="15"/>
  <c r="K60" i="15"/>
  <c r="L60" i="15"/>
  <c r="C61" i="15"/>
  <c r="D61" i="15"/>
  <c r="E61" i="15"/>
  <c r="F61" i="15"/>
  <c r="G61" i="15"/>
  <c r="H61" i="15"/>
  <c r="I61" i="15"/>
  <c r="J61" i="15"/>
  <c r="K61" i="15"/>
  <c r="L61" i="15"/>
  <c r="C62" i="15"/>
  <c r="D62" i="15"/>
  <c r="E62" i="15"/>
  <c r="F62" i="15"/>
  <c r="G62" i="15"/>
  <c r="H62" i="15"/>
  <c r="I62" i="15"/>
  <c r="J62" i="15"/>
  <c r="K62" i="15"/>
  <c r="L62" i="15"/>
  <c r="C63" i="15"/>
  <c r="D63" i="15"/>
  <c r="E63" i="15"/>
  <c r="F63" i="15"/>
  <c r="G63" i="15"/>
  <c r="H63" i="15"/>
  <c r="I63" i="15"/>
  <c r="J63" i="15"/>
  <c r="K63" i="15"/>
  <c r="L63" i="15"/>
  <c r="C64" i="15"/>
  <c r="D64" i="15"/>
  <c r="E64" i="15"/>
  <c r="F64" i="15"/>
  <c r="G64" i="15"/>
  <c r="H64" i="15"/>
  <c r="I64" i="15"/>
  <c r="J64" i="15"/>
  <c r="K64" i="15"/>
  <c r="L64" i="15"/>
  <c r="C65" i="15"/>
  <c r="D65" i="15"/>
  <c r="E65" i="15"/>
  <c r="F65" i="15"/>
  <c r="G65" i="15"/>
  <c r="H65" i="15"/>
  <c r="I65" i="15"/>
  <c r="J65" i="15"/>
  <c r="K65" i="15"/>
  <c r="L65" i="15"/>
  <c r="C66" i="15"/>
  <c r="D66" i="15"/>
  <c r="E66" i="15"/>
  <c r="F66" i="15"/>
  <c r="G66" i="15"/>
  <c r="H66" i="15"/>
  <c r="I66" i="15"/>
  <c r="J66" i="15"/>
  <c r="K66" i="15"/>
  <c r="L66" i="15"/>
  <c r="C67" i="15"/>
  <c r="D67" i="15"/>
  <c r="E67" i="15"/>
  <c r="F67" i="15"/>
  <c r="G67" i="15"/>
  <c r="H67" i="15"/>
  <c r="I67" i="15"/>
  <c r="J67" i="15"/>
  <c r="K67" i="15"/>
  <c r="L67" i="15"/>
  <c r="C68" i="15"/>
  <c r="D68" i="15"/>
  <c r="E68" i="15"/>
  <c r="F68" i="15"/>
  <c r="G68" i="15"/>
  <c r="H68" i="15"/>
  <c r="I68" i="15"/>
  <c r="J68" i="15"/>
  <c r="K68" i="15"/>
  <c r="L68" i="15"/>
  <c r="C69" i="15"/>
  <c r="D69" i="15"/>
  <c r="E69" i="15"/>
  <c r="F69" i="15"/>
  <c r="G69" i="15"/>
  <c r="H69" i="15"/>
  <c r="I69" i="15"/>
  <c r="J69" i="15"/>
  <c r="K69" i="15"/>
  <c r="L69" i="15"/>
  <c r="C70" i="15"/>
  <c r="D70" i="15"/>
  <c r="E70" i="15"/>
  <c r="F70" i="15"/>
  <c r="G70" i="15"/>
  <c r="H70" i="15"/>
  <c r="I70" i="15"/>
  <c r="J70" i="15"/>
  <c r="K70" i="15"/>
  <c r="L70" i="15"/>
  <c r="C71" i="15"/>
  <c r="D71" i="15"/>
  <c r="E71" i="15"/>
  <c r="F71" i="15"/>
  <c r="G71" i="15"/>
  <c r="H71" i="15"/>
  <c r="I71" i="15"/>
  <c r="J71" i="15"/>
  <c r="K71" i="15"/>
  <c r="L71" i="15"/>
  <c r="C72" i="15"/>
  <c r="D72" i="15"/>
  <c r="E72" i="15"/>
  <c r="F72" i="15"/>
  <c r="G72" i="15"/>
  <c r="H72" i="15"/>
  <c r="I72" i="15"/>
  <c r="J72" i="15"/>
  <c r="K72" i="15"/>
  <c r="L72" i="15"/>
  <c r="C73" i="15"/>
  <c r="D73" i="15"/>
  <c r="E73" i="15"/>
  <c r="F73" i="15"/>
  <c r="G73" i="15"/>
  <c r="H73" i="15"/>
  <c r="I73" i="15"/>
  <c r="J73" i="15"/>
  <c r="K73" i="15"/>
  <c r="L73" i="15"/>
  <c r="C74" i="15"/>
  <c r="D74" i="15"/>
  <c r="E74" i="15"/>
  <c r="F74" i="15"/>
  <c r="G74" i="15"/>
  <c r="H74" i="15"/>
  <c r="I74" i="15"/>
  <c r="J74" i="15"/>
  <c r="K74" i="15"/>
  <c r="L74" i="15"/>
  <c r="C75" i="15"/>
  <c r="D75" i="15"/>
  <c r="E75" i="15"/>
  <c r="F75" i="15"/>
  <c r="G75" i="15"/>
  <c r="H75" i="15"/>
  <c r="I75" i="15"/>
  <c r="J75" i="15"/>
  <c r="K75" i="15"/>
  <c r="L75" i="15"/>
  <c r="C76" i="15"/>
  <c r="D76" i="15"/>
  <c r="E76" i="15"/>
  <c r="F76" i="15"/>
  <c r="G76" i="15"/>
  <c r="H76" i="15"/>
  <c r="I76" i="15"/>
  <c r="J76" i="15"/>
  <c r="K76" i="15"/>
  <c r="L76" i="15"/>
  <c r="C77" i="15"/>
  <c r="D77" i="15"/>
  <c r="E77" i="15"/>
  <c r="F77" i="15"/>
  <c r="G77" i="15"/>
  <c r="H77" i="15"/>
  <c r="I77" i="15"/>
  <c r="J77" i="15"/>
  <c r="K77" i="15"/>
  <c r="L77" i="15"/>
  <c r="C78" i="15"/>
  <c r="D78" i="15"/>
  <c r="E78" i="15"/>
  <c r="F78" i="15"/>
  <c r="G78" i="15"/>
  <c r="H78" i="15"/>
  <c r="I78" i="15"/>
  <c r="J78" i="15"/>
  <c r="K78" i="15"/>
  <c r="L78" i="15"/>
  <c r="C79" i="15"/>
  <c r="D79" i="15"/>
  <c r="E79" i="15"/>
  <c r="F79" i="15"/>
  <c r="G79" i="15"/>
  <c r="H79" i="15"/>
  <c r="I79" i="15"/>
  <c r="J79" i="15"/>
  <c r="K79" i="15"/>
  <c r="L79" i="15"/>
  <c r="C80" i="15"/>
  <c r="D80" i="15"/>
  <c r="E80" i="15"/>
  <c r="F80" i="15"/>
  <c r="G80" i="15"/>
  <c r="H80" i="15"/>
  <c r="I80" i="15"/>
  <c r="J80" i="15"/>
  <c r="K80" i="15"/>
  <c r="L80" i="15"/>
  <c r="C81" i="15"/>
  <c r="D81" i="15"/>
  <c r="E81" i="15"/>
  <c r="F81" i="15"/>
  <c r="G81" i="15"/>
  <c r="H81" i="15"/>
  <c r="I81" i="15"/>
  <c r="J81" i="15"/>
  <c r="K81" i="15"/>
  <c r="L81" i="15"/>
  <c r="D82" i="15"/>
  <c r="E82" i="15"/>
  <c r="F82" i="15"/>
  <c r="G82" i="15"/>
  <c r="H82" i="15"/>
  <c r="I82" i="15"/>
  <c r="J82" i="15"/>
  <c r="K82" i="15"/>
  <c r="L82" i="15"/>
  <c r="M32" i="15"/>
  <c r="M31" i="15"/>
  <c r="M30" i="15"/>
  <c r="M29" i="15"/>
  <c r="M28" i="15"/>
  <c r="M27" i="15"/>
  <c r="M26" i="15"/>
  <c r="M25" i="15"/>
  <c r="M24" i="15"/>
  <c r="M23" i="15"/>
  <c r="M9" i="15"/>
  <c r="M8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B90" i="15"/>
  <c r="K90" i="15" s="1"/>
  <c r="C94" i="15"/>
  <c r="M49" i="15"/>
  <c r="M48" i="15"/>
  <c r="M47" i="15"/>
  <c r="M46" i="15"/>
  <c r="M45" i="15"/>
  <c r="M44" i="15"/>
  <c r="M43" i="15"/>
  <c r="M42" i="15"/>
  <c r="M41" i="15"/>
  <c r="M40" i="15"/>
  <c r="M37" i="15"/>
  <c r="M36" i="15"/>
  <c r="M35" i="15"/>
  <c r="M34" i="15"/>
  <c r="M33" i="15"/>
  <c r="I93" i="15"/>
  <c r="I92" i="15"/>
  <c r="I91" i="15"/>
  <c r="I94" i="15"/>
  <c r="I96" i="15"/>
  <c r="I95" i="15"/>
  <c r="L99" i="15"/>
  <c r="K99" i="15"/>
  <c r="J99" i="15"/>
  <c r="H99" i="15"/>
  <c r="G99" i="15"/>
  <c r="F99" i="15"/>
  <c r="E99" i="15"/>
  <c r="D99" i="15"/>
  <c r="C99" i="15"/>
  <c r="L98" i="15"/>
  <c r="K98" i="15"/>
  <c r="J98" i="15"/>
  <c r="H98" i="15"/>
  <c r="G98" i="15"/>
  <c r="F98" i="15"/>
  <c r="E98" i="15"/>
  <c r="D98" i="15"/>
  <c r="C98" i="15"/>
  <c r="L97" i="15"/>
  <c r="K97" i="15"/>
  <c r="J97" i="15"/>
  <c r="H97" i="15"/>
  <c r="G97" i="15"/>
  <c r="F97" i="15"/>
  <c r="E97" i="15"/>
  <c r="D97" i="15"/>
  <c r="C97" i="15"/>
  <c r="L96" i="15"/>
  <c r="K96" i="15"/>
  <c r="J96" i="15"/>
  <c r="H96" i="15"/>
  <c r="G96" i="15"/>
  <c r="F96" i="15"/>
  <c r="E96" i="15"/>
  <c r="D96" i="15"/>
  <c r="C96" i="15"/>
  <c r="L95" i="15"/>
  <c r="K95" i="15"/>
  <c r="J95" i="15"/>
  <c r="H95" i="15"/>
  <c r="G95" i="15"/>
  <c r="F95" i="15"/>
  <c r="E95" i="15"/>
  <c r="D95" i="15"/>
  <c r="C95" i="15"/>
  <c r="L94" i="15"/>
  <c r="K94" i="15"/>
  <c r="J94" i="15"/>
  <c r="H94" i="15"/>
  <c r="G94" i="15"/>
  <c r="F94" i="15"/>
  <c r="E94" i="15"/>
  <c r="D94" i="15"/>
  <c r="L93" i="15"/>
  <c r="K93" i="15"/>
  <c r="J93" i="15"/>
  <c r="H93" i="15"/>
  <c r="G93" i="15"/>
  <c r="F93" i="15"/>
  <c r="E93" i="15"/>
  <c r="D93" i="15"/>
  <c r="C93" i="15"/>
  <c r="L92" i="15"/>
  <c r="K92" i="15"/>
  <c r="J92" i="15"/>
  <c r="H92" i="15"/>
  <c r="G92" i="15"/>
  <c r="F92" i="15"/>
  <c r="E92" i="15"/>
  <c r="D92" i="15"/>
  <c r="C92" i="15"/>
  <c r="L91" i="15"/>
  <c r="K91" i="15"/>
  <c r="J91" i="15"/>
  <c r="H91" i="15"/>
  <c r="G91" i="15"/>
  <c r="F91" i="15"/>
  <c r="E91" i="15"/>
  <c r="D91" i="15"/>
  <c r="C91" i="15"/>
  <c r="B83" i="15"/>
  <c r="B85" i="15" s="1"/>
  <c r="L53" i="15"/>
  <c r="K53" i="15"/>
  <c r="J53" i="15"/>
  <c r="I53" i="15"/>
  <c r="H53" i="15"/>
  <c r="G53" i="15"/>
  <c r="F53" i="15"/>
  <c r="E53" i="15"/>
  <c r="D53" i="15"/>
  <c r="C53" i="15"/>
  <c r="I99" i="15"/>
  <c r="I98" i="15"/>
  <c r="I97" i="15"/>
  <c r="G85" i="15" l="1"/>
  <c r="G86" i="15" s="1"/>
  <c r="B100" i="15"/>
  <c r="B102" i="15" s="1"/>
  <c r="AG13" i="15" s="1"/>
  <c r="AG19" i="15" s="1"/>
  <c r="K85" i="15"/>
  <c r="K86" i="15" s="1"/>
  <c r="D90" i="15"/>
  <c r="D102" i="15" s="1"/>
  <c r="C90" i="15"/>
  <c r="C100" i="15" s="1"/>
  <c r="E83" i="15"/>
  <c r="G90" i="15"/>
  <c r="G102" i="15" s="1"/>
  <c r="I90" i="15"/>
  <c r="I100" i="15" s="1"/>
  <c r="J90" i="15"/>
  <c r="J102" i="15" s="1"/>
  <c r="H90" i="15"/>
  <c r="H102" i="15" s="1"/>
  <c r="I85" i="15"/>
  <c r="I86" i="15" s="1"/>
  <c r="I83" i="15"/>
  <c r="J83" i="15"/>
  <c r="G83" i="15"/>
  <c r="C83" i="15"/>
  <c r="C85" i="15" s="1"/>
  <c r="C86" i="15" s="1"/>
  <c r="F85" i="15"/>
  <c r="F86" i="15" s="1"/>
  <c r="D85" i="15"/>
  <c r="D86" i="15" s="1"/>
  <c r="E85" i="15"/>
  <c r="E86" i="15" s="1"/>
  <c r="E90" i="15"/>
  <c r="E102" i="15" s="1"/>
  <c r="L90" i="15"/>
  <c r="L100" i="15" s="1"/>
  <c r="J85" i="15"/>
  <c r="J86" i="15" s="1"/>
  <c r="H85" i="15"/>
  <c r="H86" i="15" s="1"/>
  <c r="D83" i="15"/>
  <c r="F83" i="15"/>
  <c r="L83" i="15"/>
  <c r="L85" i="15"/>
  <c r="L86" i="15" s="1"/>
  <c r="H83" i="15"/>
  <c r="K83" i="15"/>
  <c r="AE23" i="15"/>
  <c r="K100" i="15"/>
  <c r="K102" i="15"/>
  <c r="E103" i="15" l="1"/>
  <c r="H103" i="15"/>
  <c r="D100" i="15"/>
  <c r="J103" i="15"/>
  <c r="C102" i="15"/>
  <c r="C103" i="15" s="1"/>
  <c r="K103" i="15"/>
  <c r="AE25" i="15" s="1"/>
  <c r="G103" i="15"/>
  <c r="D103" i="15"/>
  <c r="AE15" i="15" s="1"/>
  <c r="AG15" i="15" s="1"/>
  <c r="D113" i="15" s="1"/>
  <c r="AG24" i="15"/>
  <c r="AG26" i="15"/>
  <c r="Z26" i="15" s="1"/>
  <c r="AG23" i="15"/>
  <c r="AG25" i="15"/>
  <c r="Z25" i="15" s="1"/>
  <c r="AG16" i="15"/>
  <c r="E113" i="15" s="1"/>
  <c r="H100" i="15"/>
  <c r="L102" i="15"/>
  <c r="L103" i="15" s="1"/>
  <c r="AE27" i="15" s="1"/>
  <c r="AG27" i="15" s="1"/>
  <c r="I102" i="15"/>
  <c r="I103" i="15" s="1"/>
  <c r="AE22" i="15" s="1"/>
  <c r="AG22" i="15" s="1"/>
  <c r="G100" i="15"/>
  <c r="E100" i="15"/>
  <c r="J100" i="15"/>
  <c r="B86" i="15"/>
  <c r="F87" i="15" l="1"/>
  <c r="F90" i="15" s="1"/>
  <c r="J113" i="15"/>
  <c r="H113" i="15"/>
  <c r="I113" i="15"/>
  <c r="AK20" i="15"/>
  <c r="AE20" i="15"/>
  <c r="AG20" i="15"/>
  <c r="G113" i="15" s="1"/>
  <c r="B87" i="15" l="1"/>
  <c r="F102" i="15"/>
  <c r="F103" i="15" s="1"/>
  <c r="B103" i="15" s="1"/>
  <c r="F104" i="15" s="1"/>
  <c r="B104" i="15" s="1"/>
  <c r="F100" i="15"/>
  <c r="AE18" i="15" l="1"/>
  <c r="AG18" i="15" s="1"/>
  <c r="K113" i="15" s="1"/>
  <c r="C108" i="15"/>
  <c r="AE14" i="15" s="1"/>
  <c r="F106" i="15"/>
  <c r="AE17" i="15" s="1"/>
  <c r="AG14" i="15" l="1"/>
  <c r="C113" i="15" s="1"/>
  <c r="AG17" i="15"/>
  <c r="F113" i="15" s="1"/>
</calcChain>
</file>

<file path=xl/comments1.xml><?xml version="1.0" encoding="utf-8"?>
<comments xmlns="http://schemas.openxmlformats.org/spreadsheetml/2006/main">
  <authors>
    <author>00001199</author>
  </authors>
  <commentList>
    <comment ref="A6" authorId="0" shape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 shape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comments2.xml><?xml version="1.0" encoding="utf-8"?>
<comments xmlns="http://schemas.openxmlformats.org/spreadsheetml/2006/main">
  <authors>
    <author>00001199</author>
  </authors>
  <commentList>
    <comment ref="A6" authorId="0" shape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 shape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<sst xmlns="http://schemas.openxmlformats.org/spreadsheetml/2006/main" count="331" uniqueCount="122">
  <si>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</si>
  <si>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</si>
  <si>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</si>
  <si>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</si>
  <si>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</si>
  <si>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</si>
  <si>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</si>
  <si>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</si>
  <si>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</si>
  <si>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</si>
  <si>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</si>
  <si>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</si>
  <si>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</si>
  <si>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ｺﾚｽﾃﾛｰﾙ</t>
    <phoneticPr fontId="1"/>
  </si>
  <si>
    <t>品名</t>
    <rPh sb="0" eb="2">
      <t>ヒンメイ</t>
    </rPh>
    <phoneticPr fontId="1"/>
  </si>
  <si>
    <t>栄養成分表示</t>
    <rPh sb="0" eb="2">
      <t>エイヨウ</t>
    </rPh>
    <rPh sb="2" eb="4">
      <t>セイブン</t>
    </rPh>
    <rPh sb="4" eb="6">
      <t>ヒョウジ</t>
    </rPh>
    <phoneticPr fontId="1"/>
  </si>
  <si>
    <t>g</t>
    <phoneticPr fontId="1"/>
  </si>
  <si>
    <t>たんぱく質</t>
    <rPh sb="4" eb="5">
      <t>シツ</t>
    </rPh>
    <phoneticPr fontId="1"/>
  </si>
  <si>
    <t>脂質</t>
    <rPh sb="0" eb="2">
      <t>シシツ</t>
    </rPh>
    <phoneticPr fontId="1"/>
  </si>
  <si>
    <t>(g)</t>
  </si>
  <si>
    <t>炭水化物</t>
    <rPh sb="0" eb="4">
      <t>タンスイカブツ</t>
    </rPh>
    <phoneticPr fontId="1"/>
  </si>
  <si>
    <t>食塩相当量</t>
    <rPh sb="0" eb="2">
      <t>ショクエン</t>
    </rPh>
    <rPh sb="2" eb="5">
      <t>ソウトウリョウ</t>
    </rPh>
    <phoneticPr fontId="1"/>
  </si>
  <si>
    <t>ナトリウム</t>
    <phoneticPr fontId="1"/>
  </si>
  <si>
    <t>水分</t>
    <rPh sb="0" eb="2">
      <t>スイブン</t>
    </rPh>
    <phoneticPr fontId="1"/>
  </si>
  <si>
    <t>材料</t>
  </si>
  <si>
    <t>Na</t>
  </si>
  <si>
    <t>灰分</t>
    <rPh sb="0" eb="1">
      <t>ハイ</t>
    </rPh>
    <rPh sb="1" eb="2">
      <t>フン</t>
    </rPh>
    <phoneticPr fontId="1"/>
  </si>
  <si>
    <t>生地</t>
  </si>
  <si>
    <t>トランス脂肪酸</t>
    <rPh sb="4" eb="7">
      <t>シボウサン</t>
    </rPh>
    <phoneticPr fontId="1"/>
  </si>
  <si>
    <t>コレステロール</t>
    <phoneticPr fontId="1"/>
  </si>
  <si>
    <t>焼減率</t>
    <rPh sb="0" eb="1">
      <t>ショウ</t>
    </rPh>
    <rPh sb="1" eb="2">
      <t>ゲン</t>
    </rPh>
    <rPh sb="2" eb="3">
      <t>リツ</t>
    </rPh>
    <phoneticPr fontId="1"/>
  </si>
  <si>
    <t>％とした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</si>
  <si>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</si>
  <si>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</si>
  <si>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</si>
  <si>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</si>
  <si>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</si>
  <si>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</si>
  <si>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</si>
  <si>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</si>
  <si>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</si>
  <si>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</si>
  <si>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ｺﾚｽﾃﾛｰﾙ</t>
    <phoneticPr fontId="1"/>
  </si>
  <si>
    <t>ﾌﾟﾙﾀﾞｳﾝﾘｽﾄ</t>
    <phoneticPr fontId="3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</si>
  <si>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</si>
  <si>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小数点以下
表示桁数</t>
    <rPh sb="6" eb="8">
      <t>ヒョウジ</t>
    </rPh>
    <rPh sb="8" eb="9">
      <t>ケタ</t>
    </rPh>
    <rPh sb="9" eb="10">
      <t>スウ</t>
    </rPh>
    <phoneticPr fontId="3"/>
  </si>
  <si>
    <t>HP掲載用</t>
    <rPh sb="2" eb="4">
      <t>ケイサイ</t>
    </rPh>
    <rPh sb="4" eb="5">
      <t>ヨウ</t>
    </rPh>
    <phoneticPr fontId="3"/>
  </si>
  <si>
    <t>エネルギー</t>
  </si>
  <si>
    <t>ﾄﾗﾝｽ脂肪酸</t>
    <rPh sb="4" eb="7">
      <t>シボウサン</t>
    </rPh>
    <phoneticPr fontId="1"/>
  </si>
  <si>
    <t>ｺﾚｽﾃﾛｰﾙ</t>
  </si>
  <si>
    <t>kcal</t>
  </si>
  <si>
    <t>ｇ</t>
  </si>
  <si>
    <t>ｍｇ</t>
  </si>
  <si>
    <t>この表示値は、目安です。</t>
    <phoneticPr fontId="3"/>
  </si>
  <si>
    <t>「この表示値は、目安です。」の一文は不要。</t>
    <phoneticPr fontId="3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</si>
  <si>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</si>
  <si>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3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</si>
  <si>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3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</si>
  <si>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3"/>
  </si>
  <si>
    <t>100g当たり</t>
    <phoneticPr fontId="1"/>
  </si>
  <si>
    <t>g</t>
  </si>
  <si>
    <t>mg</t>
  </si>
  <si>
    <t>1個当たり</t>
    <rPh sb="1" eb="2">
      <t>コ</t>
    </rPh>
    <rPh sb="2" eb="3">
      <t>アタ</t>
    </rPh>
    <phoneticPr fontId="3"/>
  </si>
  <si>
    <t>蒸し物ﾗｲﾝ選択</t>
    <rPh sb="0" eb="1">
      <t>ム</t>
    </rPh>
    <rPh sb="2" eb="3">
      <t>モノ</t>
    </rPh>
    <rPh sb="6" eb="8">
      <t>センタク</t>
    </rPh>
    <phoneticPr fontId="3"/>
  </si>
  <si>
    <t>その他</t>
    <rPh sb="2" eb="3">
      <t>タ</t>
    </rPh>
    <phoneticPr fontId="3"/>
  </si>
  <si>
    <t>食物繊維入り</t>
    <rPh sb="0" eb="2">
      <t>ショクモツ</t>
    </rPh>
    <rPh sb="2" eb="4">
      <t>センイ</t>
    </rPh>
    <rPh sb="4" eb="5">
      <t>イ</t>
    </rPh>
    <phoneticPr fontId="3"/>
  </si>
  <si>
    <t>※製品100g当たり、食物繊維3.0g以上の場合「食物繊維入り」といえます。</t>
    <rPh sb="1" eb="3">
      <t>セイヒン</t>
    </rPh>
    <rPh sb="7" eb="8">
      <t>ア</t>
    </rPh>
    <rPh sb="11" eb="13">
      <t>ショクモツ</t>
    </rPh>
    <rPh sb="13" eb="15">
      <t>センイ</t>
    </rPh>
    <rPh sb="19" eb="21">
      <t>イジョウ</t>
    </rPh>
    <rPh sb="22" eb="24">
      <t>バアイ</t>
    </rPh>
    <rPh sb="25" eb="27">
      <t>ショクモツ</t>
    </rPh>
    <rPh sb="27" eb="29">
      <t>センイ</t>
    </rPh>
    <rPh sb="29" eb="30">
      <t>イ</t>
    </rPh>
    <phoneticPr fontId="3"/>
  </si>
  <si>
    <t>「この表示値は、目安です。」の一文は不要。</t>
  </si>
  <si>
    <t>入数</t>
    <rPh sb="0" eb="1">
      <t>イ</t>
    </rPh>
    <rPh sb="1" eb="2">
      <t>スウ</t>
    </rPh>
    <phoneticPr fontId="2"/>
  </si>
  <si>
    <t>単位</t>
    <rPh sb="0" eb="2">
      <t>タンイ</t>
    </rPh>
    <phoneticPr fontId="2"/>
  </si>
  <si>
    <t>工場名</t>
    <rPh sb="0" eb="2">
      <t>コウジョウ</t>
    </rPh>
    <rPh sb="2" eb="3">
      <t>メイ</t>
    </rPh>
    <phoneticPr fontId="2"/>
  </si>
  <si>
    <t>計算者：</t>
  </si>
  <si>
    <t>確認者：</t>
  </si>
  <si>
    <t>ﾐﾙｯｸ700C</t>
  </si>
  <si>
    <t>ﾄﾗﾝｽ酸</t>
    <rPh sb="4" eb="5">
      <t>サン</t>
    </rPh>
    <phoneticPr fontId="2"/>
  </si>
  <si>
    <t>飽和脂肪酸</t>
    <rPh sb="0" eb="2">
      <t>ホウワ</t>
    </rPh>
    <rPh sb="2" eb="5">
      <t>シボウサン</t>
    </rPh>
    <phoneticPr fontId="2"/>
  </si>
  <si>
    <t>計算表(強調表示）</t>
  </si>
  <si>
    <t>規格重量</t>
    <rPh sb="0" eb="2">
      <t>キカク</t>
    </rPh>
    <rPh sb="2" eb="4">
      <t>ジュウリョウ</t>
    </rPh>
    <phoneticPr fontId="1"/>
  </si>
  <si>
    <t>糖質</t>
    <rPh sb="0" eb="2">
      <t>トウシツ</t>
    </rPh>
    <phoneticPr fontId="1"/>
  </si>
  <si>
    <t>食物繊維</t>
    <rPh sb="0" eb="2">
      <t>ショクモツ</t>
    </rPh>
    <rPh sb="2" eb="4">
      <t>センイ</t>
    </rPh>
    <phoneticPr fontId="1"/>
  </si>
  <si>
    <t>出力用</t>
  </si>
  <si>
    <t>その他</t>
  </si>
  <si>
    <t>分類</t>
    <rPh sb="0" eb="2">
      <t>ブンルイ</t>
    </rPh>
    <phoneticPr fontId="2"/>
  </si>
  <si>
    <t>東京</t>
  </si>
  <si>
    <t>2026年4月16日</t>
    <phoneticPr fontId="5"/>
  </si>
  <si>
    <t>FNS ﾊﾞﾗ</t>
  </si>
  <si>
    <t>ｱﾐｭﾘｱ</t>
  </si>
  <si>
    <t>FKT薄力粉</t>
  </si>
  <si>
    <t>ｶﾈｶｲｰｽﾄEMOLH50</t>
  </si>
  <si>
    <t>CｱﾝﾃｨｰS#1</t>
  </si>
  <si>
    <t>製ﾊﾟﾝ食用塩20kg</t>
  </si>
  <si>
    <t>KH1 上白糖</t>
  </si>
  <si>
    <t>ﾍﾞﾈﾌｨｰKB</t>
  </si>
  <si>
    <t>ｶﾈｶﾏｰｶﾞﾘﾝSD</t>
  </si>
  <si>
    <t>LuteOn B ﾌﾟﾙﾐｴｿﾌﾄ</t>
  </si>
  <si>
    <t>加工液全卵(殺菌)</t>
  </si>
  <si>
    <t>▲</t>
  </si>
  <si>
    <t>ﾌｫｰｶｽC(1L)</t>
  </si>
  <si>
    <t>ﾚｷﾞｭﾗｰｸﾞﾙﾃﾝA</t>
  </si>
  <si>
    <t>ﾌﾞﾚｯﾄﾞﾗｲﾌAP-200</t>
  </si>
  <si>
    <t>ﾊｲﾄﾗｲ700</t>
  </si>
  <si>
    <t>仕込水（※ラボ吸水）</t>
  </si>
  <si>
    <t>安納芋あん</t>
  </si>
  <si>
    <t>皮生地</t>
  </si>
  <si>
    <t>ｶﾗﾒﾙ2M-25</t>
  </si>
  <si>
    <t>FT強力粉 25kg</t>
  </si>
  <si>
    <t>▲</t>
    <phoneticPr fontId="3"/>
  </si>
  <si>
    <t/>
  </si>
  <si>
    <t>焼きいも一本</t>
    <rPh sb="0" eb="1">
      <t>ヤキ</t>
    </rPh>
    <rPh sb="4" eb="6">
      <t>イッポン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</si>
  <si>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</si>
  <si>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</si>
  <si>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</si>
  <si>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1</t>
    <phoneticPr fontId="3"/>
  </si>
  <si>
    <t>個</t>
    <rPh sb="0" eb="1">
      <t>コ</t>
    </rPh>
    <phoneticPr fontId="3"/>
  </si>
  <si>
    <t>後藤</t>
    <rPh sb="0" eb="2">
      <t>ゴトウ</t>
    </rPh>
    <phoneticPr fontId="3"/>
  </si>
  <si>
    <t>2026年4月21日</t>
    <phoneticPr fontId="5"/>
  </si>
  <si>
    <t>出力なし</t>
  </si>
  <si>
    <t>菓子ﾊﾟﾝ</t>
    <phoneticPr fontId="3"/>
  </si>
  <si>
    <t>食ﾊﾟﾝ</t>
    <phoneticPr fontId="3"/>
  </si>
  <si>
    <t>焼成前</t>
    <rPh sb="0" eb="2">
      <t>ショウセイ</t>
    </rPh>
    <rPh sb="2" eb="3">
      <t>マエ</t>
    </rPh>
    <phoneticPr fontId="3"/>
  </si>
  <si>
    <t>焼成後</t>
    <rPh sb="0" eb="2">
      <t>ショウセイ</t>
    </rPh>
    <rPh sb="2" eb="3">
      <t>ゴ</t>
    </rPh>
    <phoneticPr fontId="3"/>
  </si>
  <si>
    <t>焼減率</t>
    <rPh sb="0" eb="1">
      <t>ヤ</t>
    </rPh>
    <rPh sb="1" eb="2">
      <t>ヘ</t>
    </rPh>
    <rPh sb="2" eb="3">
      <t>リツ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</si>
</sst>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_ "/>
    <numFmt numFmtId="182" formatCode="0.00_ "/>
    <numFmt numFmtId="183" formatCode="0.0000"/>
    <numFmt numFmtId="184" formatCode="#,##0.0;[Red]\-#,##0.0"/>
    <numFmt numFmtId="185" formatCode="[$-F800]dddd\,\ mmmm\ dd\,\ yyyy"/>
    <numFmt numFmtId="186" formatCode="#,##0.00_ "/>
    <numFmt numFmtId="187" formatCode="0.00;\-0.00;0;@"/>
    <numFmt numFmtId="188" formatCode="#,##0.0_ ;[Red]\-#,##0.0\ "/>
  </numFmts>
  <fonts count="40" x14ac:knownFonts="1">
    <font>
      <sz val="11"/>
      <name val="ＭＳ Ｐゴシック"/>
      <family val="3"/>
      <charset val="128"/>
    </font>
    <font>
      <sz val="14"/>
      <name val="Terminal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8"/>
      <name val="ＭＳ Ｐゴシック"/>
      <family val="3"/>
      <charset val="128"/>
    </font>
    <font>
      <sz val="12"/>
      <color indexed="10"/>
      <name val="ＭＳ Ｐ明朝"/>
      <family val="1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3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Calibri"/>
      <family val="2"/>
    </font>
    <font>
      <sz val="14"/>
      <color indexed="8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0"/>
      <name val="Calibri"/>
      <family val="2"/>
    </font>
    <font>
      <sz val="14"/>
      <name val="ＭＳ ゴシック"/>
      <family val="3"/>
      <charset val="128"/>
    </font>
    <font>
      <sz val="14"/>
      <color indexed="10"/>
      <name val="ＭＳ ゴシック"/>
      <family val="3"/>
      <charset val="128"/>
    </font>
    <font>
      <sz val="12.5"/>
      <name val="ＭＳ Ｐゴシック"/>
      <family val="3"/>
      <charset val="128"/>
    </font>
    <font>
      <sz val="15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1"/>
      <color rgb="FF000080"/>
      <name val="ＭＳ Ｐゴシック"/>
      <family val="3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4"/>
      <color theme="0" tint="-0.499984740745262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2"/>
      <color rgb="FF0000FF"/>
      <name val="ＭＳ 明朝"/>
      <family val="1"/>
      <charset val="128"/>
    </font>
    <font>
      <sz val="12"/>
      <color rgb="FF0000FF"/>
      <name val="ＭＳ Ｐ明朝"/>
      <family val="1"/>
      <charset val="128"/>
    </font>
    <font>
      <b/>
      <sz val="14"/>
      <color indexed="10"/>
      <name val="ＭＳ 明朝"/>
      <family val="1"/>
      <charset val="128"/>
    </font>
    <font>
      <sz val="11"/>
      <color theme="1"/>
      <name val="ＭＳ Ｐゴシック"/>
      <family val="3"/>
      <charset val="128"/>
      <scheme val="minor"/>
    </font>
    <font>
      <sz val="14"/>
      <color indexed="81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7CE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38" fontId="2" fillId="0" borderId="0" applyFont="0" applyFill="0" applyBorder="0" applyAlignment="0" applyProtection="0"/>
    <xf numFmtId="0" fontId="2" fillId="0" borderId="0"/>
    <xf numFmtId="2" fontId="1" fillId="0" borderId="0"/>
    <xf numFmtId="0" fontId="38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85">
    <xf numFmtId="0" fontId="0" fillId="0" borderId="0" xfId="0"/>
    <xf numFmtId="2" fontId="5" fillId="0" borderId="0" xfId="3" applyNumberFormat="1" applyFont="1" applyAlignment="1" applyProtection="1">
      <alignment horizontal="left"/>
    </xf>
    <xf numFmtId="2" fontId="6" fillId="0" borderId="0" xfId="3" applyNumberFormat="1" applyFont="1" applyProtection="1">
      <protection locked="0"/>
    </xf>
    <xf numFmtId="184" fontId="6" fillId="0" borderId="0" xfId="1" applyNumberFormat="1" applyFont="1" applyProtection="1">
      <protection locked="0"/>
    </xf>
    <xf numFmtId="2" fontId="5" fillId="0" borderId="0" xfId="3" applyFont="1"/>
    <xf numFmtId="2" fontId="4" fillId="0" borderId="0" xfId="3" applyFont="1"/>
    <xf numFmtId="2" fontId="6" fillId="0" borderId="1" xfId="3" applyNumberFormat="1" applyFont="1" applyBorder="1" applyProtection="1">
      <protection locked="0"/>
    </xf>
    <xf numFmtId="2" fontId="6" fillId="0" borderId="0" xfId="3" applyNumberFormat="1" applyFont="1" applyBorder="1" applyProtection="1">
      <protection locked="0"/>
    </xf>
    <xf numFmtId="184" fontId="6" fillId="0" borderId="0" xfId="1" applyNumberFormat="1" applyFont="1" applyBorder="1" applyProtection="1">
      <protection locked="0"/>
    </xf>
    <xf numFmtId="2" fontId="5" fillId="0" borderId="2" xfId="3" applyNumberFormat="1" applyFont="1" applyBorder="1" applyAlignment="1" applyProtection="1">
      <alignment horizontal="center"/>
    </xf>
    <xf numFmtId="2" fontId="5" fillId="0" borderId="3" xfId="3" applyNumberFormat="1" applyFont="1" applyBorder="1" applyAlignment="1" applyProtection="1">
      <alignment horizontal="center"/>
    </xf>
    <xf numFmtId="183" fontId="5" fillId="0" borderId="4" xfId="3" applyNumberFormat="1" applyFont="1" applyBorder="1" applyAlignment="1" applyProtection="1">
      <alignment horizontal="center"/>
    </xf>
    <xf numFmtId="2" fontId="5" fillId="0" borderId="4" xfId="3" applyNumberFormat="1" applyFont="1" applyBorder="1" applyAlignment="1" applyProtection="1">
      <alignment horizontal="center"/>
    </xf>
    <xf numFmtId="184" fontId="5" fillId="0" borderId="4" xfId="1" applyNumberFormat="1" applyFont="1" applyBorder="1" applyAlignment="1" applyProtection="1">
      <alignment horizontal="center"/>
    </xf>
    <xf numFmtId="184" fontId="6" fillId="0" borderId="4" xfId="1" applyNumberFormat="1" applyFont="1" applyBorder="1" applyAlignment="1" applyProtection="1">
      <alignment horizontal="right"/>
      <protection locked="0"/>
    </xf>
    <xf numFmtId="2" fontId="7" fillId="0" borderId="0" xfId="3" applyFont="1"/>
    <xf numFmtId="2" fontId="9" fillId="0" borderId="0" xfId="3" applyFont="1"/>
    <xf numFmtId="2" fontId="4" fillId="0" borderId="0" xfId="3" applyFont="1" applyAlignment="1">
      <alignment vertical="center"/>
    </xf>
    <xf numFmtId="0" fontId="4" fillId="0" borderId="0" xfId="0" applyFont="1" applyAlignment="1"/>
    <xf numFmtId="2" fontId="4" fillId="0" borderId="5" xfId="3" applyFont="1" applyBorder="1" applyAlignment="1">
      <alignment vertical="center"/>
    </xf>
    <xf numFmtId="179" fontId="10" fillId="0" borderId="0" xfId="3" applyNumberFormat="1" applyFont="1" applyAlignment="1">
      <alignment horizontal="center"/>
    </xf>
    <xf numFmtId="2" fontId="11" fillId="0" borderId="5" xfId="3" applyFont="1" applyBorder="1" applyAlignment="1">
      <alignment horizontal="center"/>
    </xf>
    <xf numFmtId="2" fontId="7" fillId="0" borderId="0" xfId="3" applyFont="1" applyAlignment="1">
      <alignment horizontal="left"/>
    </xf>
    <xf numFmtId="2" fontId="5" fillId="0" borderId="0" xfId="3" applyFont="1" applyAlignment="1"/>
    <xf numFmtId="2" fontId="7" fillId="0" borderId="6" xfId="3" applyFont="1" applyBorder="1" applyAlignment="1"/>
    <xf numFmtId="2" fontId="11" fillId="0" borderId="6" xfId="3" applyFont="1" applyBorder="1" applyAlignment="1"/>
    <xf numFmtId="2" fontId="11" fillId="0" borderId="6" xfId="3" applyFont="1" applyBorder="1" applyAlignment="1">
      <alignment horizontal="center"/>
    </xf>
    <xf numFmtId="179" fontId="11" fillId="0" borderId="6" xfId="3" applyNumberFormat="1" applyFont="1" applyBorder="1" applyAlignment="1">
      <alignment horizontal="center"/>
    </xf>
    <xf numFmtId="2" fontId="11" fillId="0" borderId="6" xfId="3" applyFont="1" applyBorder="1" applyAlignment="1">
      <alignment horizontal="right"/>
    </xf>
    <xf numFmtId="178" fontId="11" fillId="0" borderId="6" xfId="3" applyNumberFormat="1" applyFont="1" applyBorder="1" applyAlignment="1">
      <alignment horizontal="center"/>
    </xf>
    <xf numFmtId="2" fontId="7" fillId="0" borderId="6" xfId="3" applyFont="1" applyBorder="1"/>
    <xf numFmtId="2" fontId="11" fillId="0" borderId="6" xfId="3" applyFont="1" applyBorder="1"/>
    <xf numFmtId="2" fontId="6" fillId="0" borderId="2" xfId="3" applyNumberFormat="1" applyFont="1" applyBorder="1" applyAlignment="1" applyProtection="1">
      <alignment horizontal="left"/>
      <protection locked="0"/>
    </xf>
    <xf numFmtId="183" fontId="6" fillId="0" borderId="4" xfId="3" applyNumberFormat="1" applyFont="1" applyBorder="1" applyAlignment="1" applyProtection="1">
      <alignment horizontal="right"/>
      <protection locked="0"/>
    </xf>
    <xf numFmtId="180" fontId="11" fillId="0" borderId="6" xfId="3" applyNumberFormat="1" applyFont="1" applyBorder="1" applyAlignment="1">
      <alignment horizontal="center"/>
    </xf>
    <xf numFmtId="2" fontId="6" fillId="0" borderId="7" xfId="3" applyNumberFormat="1" applyFont="1" applyBorder="1" applyProtection="1">
      <protection locked="0"/>
    </xf>
    <xf numFmtId="184" fontId="6" fillId="0" borderId="8" xfId="1" applyNumberFormat="1" applyFont="1" applyBorder="1" applyProtection="1">
      <protection locked="0"/>
    </xf>
    <xf numFmtId="2" fontId="12" fillId="0" borderId="6" xfId="3" applyFont="1" applyBorder="1"/>
    <xf numFmtId="2" fontId="12" fillId="0" borderId="6" xfId="3" applyFont="1" applyBorder="1" applyAlignment="1">
      <alignment horizontal="center"/>
    </xf>
    <xf numFmtId="178" fontId="12" fillId="0" borderId="6" xfId="3" applyNumberFormat="1" applyFont="1" applyBorder="1" applyAlignment="1">
      <alignment horizontal="center"/>
    </xf>
    <xf numFmtId="181" fontId="12" fillId="0" borderId="6" xfId="3" applyNumberFormat="1" applyFont="1" applyBorder="1" applyAlignment="1">
      <alignment horizontal="center"/>
    </xf>
    <xf numFmtId="2" fontId="6" fillId="0" borderId="2" xfId="3" applyNumberFormat="1" applyFont="1" applyBorder="1" applyProtection="1">
      <protection locked="0"/>
    </xf>
    <xf numFmtId="176" fontId="6" fillId="0" borderId="3" xfId="3" applyNumberFormat="1" applyFont="1" applyBorder="1" applyProtection="1">
      <protection locked="0"/>
    </xf>
    <xf numFmtId="180" fontId="11" fillId="0" borderId="6" xfId="3" applyNumberFormat="1" applyFont="1" applyBorder="1" applyAlignment="1">
      <alignment horizontal="right"/>
    </xf>
    <xf numFmtId="178" fontId="11" fillId="0" borderId="6" xfId="3" applyNumberFormat="1" applyFont="1" applyBorder="1" applyAlignment="1">
      <alignment horizontal="right"/>
    </xf>
    <xf numFmtId="0" fontId="13" fillId="0" borderId="0" xfId="0" applyFont="1"/>
    <xf numFmtId="2" fontId="4" fillId="0" borderId="0" xfId="3" applyFont="1" applyBorder="1" applyAlignment="1"/>
    <xf numFmtId="179" fontId="4" fillId="0" borderId="0" xfId="3" applyNumberFormat="1" applyFont="1" applyBorder="1"/>
    <xf numFmtId="2" fontId="4" fillId="0" borderId="0" xfId="3" applyFont="1" applyBorder="1"/>
    <xf numFmtId="178" fontId="7" fillId="0" borderId="0" xfId="3" applyNumberFormat="1" applyFont="1" applyAlignment="1">
      <alignment horizontal="right"/>
    </xf>
    <xf numFmtId="178" fontId="4" fillId="0" borderId="0" xfId="3" applyNumberFormat="1" applyFont="1" applyBorder="1"/>
    <xf numFmtId="2" fontId="4" fillId="2" borderId="0" xfId="3" applyFont="1" applyFill="1" applyBorder="1" applyAlignment="1">
      <alignment horizontal="center"/>
    </xf>
    <xf numFmtId="2" fontId="6" fillId="0" borderId="9" xfId="3" applyNumberFormat="1" applyFont="1" applyBorder="1" applyProtection="1">
      <protection locked="0"/>
    </xf>
    <xf numFmtId="184" fontId="6" fillId="0" borderId="10" xfId="1" applyNumberFormat="1" applyFont="1" applyBorder="1" applyProtection="1">
      <protection locked="0"/>
    </xf>
    <xf numFmtId="180" fontId="4" fillId="0" borderId="0" xfId="3" applyNumberFormat="1" applyFont="1" applyBorder="1"/>
    <xf numFmtId="2" fontId="6" fillId="0" borderId="1" xfId="3" applyNumberFormat="1" applyFont="1" applyBorder="1" applyAlignment="1" applyProtection="1">
      <alignment horizontal="left"/>
      <protection locked="0"/>
    </xf>
    <xf numFmtId="184" fontId="6" fillId="0" borderId="1" xfId="1" applyNumberFormat="1" applyFont="1" applyBorder="1" applyProtection="1">
      <protection locked="0"/>
    </xf>
    <xf numFmtId="177" fontId="5" fillId="0" borderId="2" xfId="3" applyNumberFormat="1" applyFont="1" applyBorder="1" applyProtection="1"/>
    <xf numFmtId="177" fontId="5" fillId="0" borderId="3" xfId="3" applyNumberFormat="1" applyFont="1" applyBorder="1" applyProtection="1"/>
    <xf numFmtId="184" fontId="5" fillId="0" borderId="3" xfId="1" applyNumberFormat="1" applyFont="1" applyBorder="1" applyProtection="1"/>
    <xf numFmtId="2" fontId="2" fillId="0" borderId="0" xfId="3" applyFont="1"/>
    <xf numFmtId="2" fontId="4" fillId="2" borderId="0" xfId="3" applyFont="1" applyFill="1" applyBorder="1"/>
    <xf numFmtId="2" fontId="5" fillId="2" borderId="0" xfId="3" applyFont="1" applyFill="1" applyBorder="1"/>
    <xf numFmtId="2" fontId="5" fillId="0" borderId="2" xfId="3" applyNumberFormat="1" applyFont="1" applyBorder="1" applyProtection="1"/>
    <xf numFmtId="2" fontId="5" fillId="0" borderId="3" xfId="3" applyNumberFormat="1" applyFont="1" applyBorder="1" applyProtection="1"/>
    <xf numFmtId="177" fontId="5" fillId="0" borderId="4" xfId="3" applyNumberFormat="1" applyFont="1" applyBorder="1" applyProtection="1"/>
    <xf numFmtId="184" fontId="5" fillId="0" borderId="4" xfId="1" applyNumberFormat="1" applyFont="1" applyBorder="1" applyProtection="1"/>
    <xf numFmtId="176" fontId="5" fillId="0" borderId="2" xfId="3" applyNumberFormat="1" applyFont="1" applyBorder="1" applyProtection="1"/>
    <xf numFmtId="176" fontId="5" fillId="0" borderId="3" xfId="3" applyNumberFormat="1" applyFont="1" applyBorder="1" applyProtection="1"/>
    <xf numFmtId="183" fontId="5" fillId="0" borderId="4" xfId="3" applyNumberFormat="1" applyFont="1" applyBorder="1" applyProtection="1"/>
    <xf numFmtId="2" fontId="5" fillId="0" borderId="11" xfId="3" applyNumberFormat="1" applyFont="1" applyBorder="1" applyAlignment="1" applyProtection="1">
      <alignment horizontal="center"/>
    </xf>
    <xf numFmtId="176" fontId="5" fillId="0" borderId="11" xfId="3" applyNumberFormat="1" applyFont="1" applyBorder="1" applyProtection="1"/>
    <xf numFmtId="2" fontId="5" fillId="0" borderId="12" xfId="3" applyNumberFormat="1" applyFont="1" applyBorder="1" applyAlignment="1" applyProtection="1">
      <alignment horizontal="center"/>
    </xf>
    <xf numFmtId="176" fontId="5" fillId="0" borderId="13" xfId="3" applyNumberFormat="1" applyFont="1" applyBorder="1" applyProtection="1"/>
    <xf numFmtId="176" fontId="5" fillId="0" borderId="14" xfId="3" applyNumberFormat="1" applyFont="1" applyBorder="1" applyProtection="1"/>
    <xf numFmtId="2" fontId="5" fillId="0" borderId="0" xfId="3" applyNumberFormat="1" applyFont="1" applyBorder="1" applyAlignment="1" applyProtection="1">
      <alignment horizontal="center"/>
    </xf>
    <xf numFmtId="176" fontId="5" fillId="0" borderId="0" xfId="3" applyNumberFormat="1" applyFont="1" applyBorder="1" applyProtection="1"/>
    <xf numFmtId="176" fontId="6" fillId="0" borderId="0" xfId="3" applyNumberFormat="1" applyFont="1" applyBorder="1" applyProtection="1">
      <protection locked="0"/>
    </xf>
    <xf numFmtId="176" fontId="5" fillId="0" borderId="16" xfId="3" applyNumberFormat="1" applyFont="1" applyBorder="1" applyAlignment="1" applyProtection="1">
      <alignment horizontal="right"/>
    </xf>
    <xf numFmtId="176" fontId="6" fillId="0" borderId="17" xfId="3" applyNumberFormat="1" applyFont="1" applyBorder="1" applyProtection="1">
      <protection locked="0"/>
    </xf>
    <xf numFmtId="176" fontId="5" fillId="0" borderId="16" xfId="3" applyNumberFormat="1" applyFont="1" applyBorder="1" applyProtection="1"/>
    <xf numFmtId="2" fontId="14" fillId="0" borderId="0" xfId="3" applyNumberFormat="1" applyFont="1" applyProtection="1">
      <protection locked="0"/>
    </xf>
    <xf numFmtId="2" fontId="15" fillId="0" borderId="0" xfId="3" applyFont="1"/>
    <xf numFmtId="2" fontId="5" fillId="0" borderId="18" xfId="3" applyNumberFormat="1" applyFont="1" applyBorder="1" applyAlignment="1" applyProtection="1">
      <alignment horizontal="left"/>
    </xf>
    <xf numFmtId="2" fontId="6" fillId="0" borderId="18" xfId="3" applyNumberFormat="1" applyFont="1" applyBorder="1" applyProtection="1">
      <protection locked="0"/>
    </xf>
    <xf numFmtId="1" fontId="5" fillId="0" borderId="18" xfId="3" applyNumberFormat="1" applyFont="1" applyBorder="1" applyProtection="1"/>
    <xf numFmtId="176" fontId="16" fillId="0" borderId="0" xfId="3" applyNumberFormat="1" applyFont="1" applyProtection="1">
      <protection locked="0"/>
    </xf>
    <xf numFmtId="176" fontId="6" fillId="0" borderId="0" xfId="3" applyNumberFormat="1" applyFont="1" applyProtection="1">
      <protection locked="0"/>
    </xf>
    <xf numFmtId="184" fontId="5" fillId="0" borderId="0" xfId="1" applyNumberFormat="1" applyFont="1"/>
    <xf numFmtId="2" fontId="8" fillId="0" borderId="4" xfId="0" applyNumberFormat="1" applyFont="1" applyFill="1" applyBorder="1" applyAlignment="1">
      <alignment horizontal="right" wrapText="1"/>
    </xf>
    <xf numFmtId="2" fontId="11" fillId="0" borderId="0" xfId="3" applyFont="1" applyBorder="1" applyAlignment="1">
      <alignment horizontal="center"/>
    </xf>
    <xf numFmtId="180" fontId="26" fillId="0" borderId="0" xfId="3" applyNumberFormat="1" applyFont="1" applyBorder="1" applyAlignment="1">
      <alignment horizontal="left"/>
    </xf>
    <xf numFmtId="185" fontId="4" fillId="0" borderId="0" xfId="3" applyNumberFormat="1" applyFont="1"/>
    <xf numFmtId="179" fontId="11" fillId="0" borderId="6" xfId="1" applyNumberFormat="1" applyFont="1" applyBorder="1" applyAlignment="1">
      <alignment horizontal="center"/>
    </xf>
    <xf numFmtId="2" fontId="17" fillId="0" borderId="0" xfId="3" applyNumberFormat="1" applyFont="1" applyAlignment="1" applyProtection="1">
      <alignment horizontal="left"/>
      <protection locked="0"/>
    </xf>
    <xf numFmtId="2" fontId="27" fillId="0" borderId="0" xfId="3" applyNumberFormat="1" applyFont="1" applyAlignment="1" applyProtection="1">
      <alignment horizontal="left"/>
      <protection locked="0"/>
    </xf>
    <xf numFmtId="0" fontId="28" fillId="0" borderId="0" xfId="0" applyFont="1"/>
    <xf numFmtId="2" fontId="22" fillId="0" borderId="0" xfId="3" applyFont="1"/>
    <xf numFmtId="184" fontId="6" fillId="0" borderId="2" xfId="1" applyNumberFormat="1" applyFont="1" applyBorder="1" applyProtection="1">
      <protection locked="0"/>
    </xf>
    <xf numFmtId="2" fontId="5" fillId="0" borderId="19" xfId="3" applyNumberFormat="1" applyFont="1" applyBorder="1" applyProtection="1"/>
    <xf numFmtId="38" fontId="5" fillId="0" borderId="20" xfId="3" applyNumberFormat="1" applyFont="1" applyBorder="1" applyProtection="1"/>
    <xf numFmtId="38" fontId="5" fillId="0" borderId="19" xfId="1" applyNumberFormat="1" applyFont="1" applyBorder="1" applyProtection="1"/>
    <xf numFmtId="2" fontId="7" fillId="0" borderId="0" xfId="3" applyFont="1" applyAlignment="1">
      <alignment horizontal="right"/>
    </xf>
    <xf numFmtId="2" fontId="5" fillId="0" borderId="0" xfId="3" applyFont="1" applyBorder="1"/>
    <xf numFmtId="2" fontId="2" fillId="0" borderId="0" xfId="3" applyFont="1" applyBorder="1"/>
    <xf numFmtId="0" fontId="4" fillId="3" borderId="24" xfId="3" applyNumberFormat="1" applyFont="1" applyFill="1" applyBorder="1" applyAlignment="1">
      <alignment horizontal="center" vertical="center"/>
    </xf>
    <xf numFmtId="0" fontId="29" fillId="0" borderId="4" xfId="0" applyFont="1" applyBorder="1" applyProtection="1">
      <protection locked="0"/>
    </xf>
    <xf numFmtId="186" fontId="29" fillId="0" borderId="4" xfId="0" applyNumberFormat="1" applyFont="1" applyBorder="1" applyProtection="1">
      <protection locked="0"/>
    </xf>
    <xf numFmtId="182" fontId="0" fillId="0" borderId="4" xfId="0" applyNumberFormat="1" applyBorder="1"/>
    <xf numFmtId="176" fontId="30" fillId="0" borderId="0" xfId="3" applyNumberFormat="1" applyFont="1" applyProtection="1">
      <protection locked="0"/>
    </xf>
    <xf numFmtId="2" fontId="31" fillId="0" borderId="21" xfId="3" applyFont="1" applyBorder="1"/>
    <xf numFmtId="179" fontId="32" fillId="0" borderId="22" xfId="3" applyNumberFormat="1" applyFont="1" applyBorder="1"/>
    <xf numFmtId="178" fontId="32" fillId="0" borderId="21" xfId="3" applyNumberFormat="1" applyFont="1" applyBorder="1"/>
    <xf numFmtId="178" fontId="32" fillId="0" borderId="10" xfId="3" applyNumberFormat="1" applyFont="1" applyBorder="1"/>
    <xf numFmtId="180" fontId="32" fillId="0" borderId="21" xfId="3" applyNumberFormat="1" applyFont="1" applyBorder="1"/>
    <xf numFmtId="180" fontId="32" fillId="0" borderId="10" xfId="3" applyNumberFormat="1" applyFont="1" applyBorder="1"/>
    <xf numFmtId="179" fontId="32" fillId="0" borderId="23" xfId="3" applyNumberFormat="1" applyFont="1" applyBorder="1"/>
    <xf numFmtId="176" fontId="32" fillId="0" borderId="2" xfId="3" applyNumberFormat="1" applyFont="1" applyBorder="1" applyAlignment="1" applyProtection="1">
      <alignment horizontal="right"/>
      <protection locked="0"/>
    </xf>
    <xf numFmtId="176" fontId="32" fillId="0" borderId="3" xfId="3" applyNumberFormat="1" applyFont="1" applyBorder="1" applyAlignment="1" applyProtection="1">
      <alignment horizontal="right"/>
      <protection locked="0"/>
    </xf>
    <xf numFmtId="176" fontId="32" fillId="0" borderId="1" xfId="3" applyNumberFormat="1" applyFont="1" applyBorder="1" applyAlignment="1" applyProtection="1">
      <alignment horizontal="right"/>
      <protection locked="0"/>
    </xf>
    <xf numFmtId="176" fontId="32" fillId="0" borderId="7" xfId="3" applyNumberFormat="1" applyFont="1" applyBorder="1" applyAlignment="1" applyProtection="1">
      <alignment horizontal="right"/>
      <protection locked="0"/>
    </xf>
    <xf numFmtId="2" fontId="33" fillId="0" borderId="0" xfId="3" applyFont="1"/>
    <xf numFmtId="2" fontId="5" fillId="4" borderId="0" xfId="3" applyNumberFormat="1" applyFont="1" applyFill="1" applyAlignment="1" applyProtection="1">
      <alignment horizontal="left"/>
    </xf>
    <xf numFmtId="0" fontId="24" fillId="0" borderId="0" xfId="0" applyFont="1"/>
    <xf numFmtId="2" fontId="22" fillId="0" borderId="0" xfId="3" applyNumberFormat="1" applyFont="1" applyAlignment="1" applyProtection="1">
      <alignment horizontal="left"/>
      <protection locked="0"/>
    </xf>
    <xf numFmtId="2" fontId="5" fillId="5" borderId="26" xfId="3" applyNumberFormat="1" applyFont="1" applyFill="1" applyBorder="1" applyAlignment="1" applyProtection="1">
      <alignment horizontal="center"/>
      <protection locked="0"/>
    </xf>
    <xf numFmtId="49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1" applyNumberFormat="1" applyFont="1" applyBorder="1" applyAlignment="1" applyProtection="1">
      <alignment horizontal="center"/>
      <protection locked="0"/>
    </xf>
    <xf numFmtId="0" fontId="6" fillId="0" borderId="26" xfId="3" applyNumberFormat="1" applyFont="1" applyBorder="1" applyAlignment="1" applyProtection="1">
      <alignment horizontal="center"/>
      <protection locked="0"/>
    </xf>
    <xf numFmtId="2" fontId="5" fillId="5" borderId="1" xfId="3" applyNumberFormat="1" applyFont="1" applyFill="1" applyBorder="1" applyAlignment="1" applyProtection="1">
      <alignment horizontal="center"/>
    </xf>
    <xf numFmtId="2" fontId="5" fillId="5" borderId="2" xfId="3" applyNumberFormat="1" applyFont="1" applyFill="1" applyBorder="1" applyAlignment="1" applyProtection="1">
      <alignment horizontal="center"/>
    </xf>
    <xf numFmtId="2" fontId="5" fillId="5" borderId="3" xfId="3" applyNumberFormat="1" applyFont="1" applyFill="1" applyBorder="1" applyAlignment="1" applyProtection="1">
      <alignment horizontal="center"/>
    </xf>
    <xf numFmtId="183" fontId="5" fillId="5" borderId="4" xfId="3" applyNumberFormat="1" applyFont="1" applyFill="1" applyBorder="1" applyAlignment="1" applyProtection="1">
      <alignment horizontal="center"/>
    </xf>
    <xf numFmtId="2" fontId="5" fillId="5" borderId="4" xfId="3" applyNumberFormat="1" applyFont="1" applyFill="1" applyBorder="1" applyAlignment="1" applyProtection="1">
      <alignment horizontal="center"/>
    </xf>
    <xf numFmtId="184" fontId="5" fillId="5" borderId="4" xfId="1" applyNumberFormat="1" applyFont="1" applyFill="1" applyBorder="1" applyAlignment="1" applyProtection="1">
      <alignment horizontal="center"/>
    </xf>
    <xf numFmtId="2" fontId="34" fillId="0" borderId="0" xfId="0" applyNumberFormat="1" applyFont="1" applyProtection="1">
      <protection locked="0"/>
    </xf>
    <xf numFmtId="2" fontId="5" fillId="0" borderId="0" xfId="3" applyFont="1" applyAlignment="1">
      <alignment horizontal="center"/>
    </xf>
    <xf numFmtId="2" fontId="5" fillId="6" borderId="0" xfId="3" applyFont="1" applyFill="1"/>
    <xf numFmtId="2" fontId="35" fillId="0" borderId="4" xfId="0" applyNumberFormat="1" applyFont="1" applyBorder="1" applyAlignment="1" applyProtection="1">
      <alignment horizontal="left"/>
      <protection locked="0"/>
    </xf>
    <xf numFmtId="2" fontId="36" fillId="0" borderId="27" xfId="0" applyNumberFormat="1" applyFont="1" applyBorder="1" applyProtection="1">
      <protection locked="0"/>
    </xf>
    <xf numFmtId="0" fontId="36" fillId="0" borderId="4" xfId="0" applyFont="1" applyBorder="1" applyProtection="1">
      <protection locked="0"/>
    </xf>
    <xf numFmtId="2" fontId="36" fillId="0" borderId="4" xfId="0" applyNumberFormat="1" applyFont="1" applyBorder="1" applyProtection="1">
      <protection locked="0"/>
    </xf>
    <xf numFmtId="180" fontId="29" fillId="0" borderId="4" xfId="0" applyNumberFormat="1" applyFont="1" applyBorder="1" applyProtection="1">
      <protection locked="0"/>
    </xf>
    <xf numFmtId="182" fontId="29" fillId="0" borderId="4" xfId="0" applyNumberFormat="1" applyFont="1" applyBorder="1" applyProtection="1">
      <protection locked="0"/>
    </xf>
    <xf numFmtId="187" fontId="11" fillId="0" borderId="6" xfId="3" applyNumberFormat="1" applyFont="1" applyBorder="1" applyAlignment="1">
      <alignment horizontal="center"/>
    </xf>
    <xf numFmtId="187" fontId="11" fillId="0" borderId="6" xfId="3" applyNumberFormat="1" applyFont="1" applyBorder="1" applyAlignment="1">
      <alignment horizontal="right"/>
    </xf>
    <xf numFmtId="187" fontId="12" fillId="0" borderId="6" xfId="3" applyNumberFormat="1" applyFont="1" applyBorder="1" applyAlignment="1">
      <alignment horizontal="right"/>
    </xf>
    <xf numFmtId="2" fontId="6" fillId="5" borderId="31" xfId="3" applyNumberFormat="1" applyFont="1" applyFill="1" applyBorder="1" applyProtection="1">
      <protection locked="0"/>
    </xf>
    <xf numFmtId="188" fontId="6" fillId="4" borderId="32" xfId="1" applyNumberFormat="1" applyFont="1" applyFill="1" applyBorder="1" applyProtection="1">
      <protection locked="0"/>
    </xf>
    <xf numFmtId="176" fontId="37" fillId="0" borderId="0" xfId="3" applyNumberFormat="1" applyFont="1" applyBorder="1" applyProtection="1">
      <protection locked="0"/>
    </xf>
    <xf numFmtId="176" fontId="36" fillId="0" borderId="27" xfId="0" applyNumberFormat="1" applyFont="1" applyBorder="1" applyProtection="1">
      <protection locked="0"/>
    </xf>
    <xf numFmtId="181" fontId="11" fillId="0" borderId="6" xfId="3" applyNumberFormat="1" applyFont="1" applyBorder="1" applyAlignment="1">
      <alignment horizontal="center"/>
    </xf>
    <xf numFmtId="0" fontId="10" fillId="0" borderId="0" xfId="3" applyNumberFormat="1" applyFont="1" applyAlignment="1">
      <alignment horizontal="center"/>
    </xf>
    <xf numFmtId="2" fontId="11" fillId="0" borderId="6" xfId="3" applyFont="1" applyBorder="1" applyAlignment="1">
      <alignment horizontal="left" indent="2"/>
    </xf>
    <xf numFmtId="2" fontId="11" fillId="0" borderId="0" xfId="3" applyFont="1" applyBorder="1" applyAlignment="1">
      <alignment horizontal="left" indent="2"/>
    </xf>
    <xf numFmtId="179" fontId="32" fillId="0" borderId="21" xfId="3" applyNumberFormat="1" applyFont="1" applyBorder="1" applyAlignment="1"/>
    <xf numFmtId="0" fontId="0" fillId="0" borderId="3" xfId="0" applyBorder="1" applyAlignment="1"/>
    <xf numFmtId="49" fontId="6" fillId="0" borderId="0" xfId="3" applyNumberFormat="1" applyFont="1" applyAlignment="1" applyProtection="1">
      <alignment horizontal="left"/>
      <protection locked="0"/>
    </xf>
    <xf numFmtId="2" fontId="5" fillId="5" borderId="28" xfId="3" applyNumberFormat="1" applyFont="1" applyFill="1" applyBorder="1" applyAlignment="1" applyProtection="1">
      <alignment horizontal="center"/>
      <protection locked="0"/>
    </xf>
    <xf numFmtId="2" fontId="5" fillId="7" borderId="0" xfId="3" applyFont="1" applyFill="1"/>
    <xf numFmtId="0" fontId="5" fillId="7" borderId="2" xfId="3" applyNumberFormat="1" applyFont="1" applyFill="1" applyBorder="1" applyProtection="1"/>
    <xf numFmtId="176" fontId="6" fillId="8" borderId="2" xfId="3" applyNumberFormat="1" applyFont="1" applyFill="1" applyBorder="1" applyProtection="1">
      <protection locked="0"/>
    </xf>
    <xf numFmtId="177" fontId="6" fillId="8" borderId="2" xfId="3" applyNumberFormat="1" applyFont="1" applyFill="1" applyBorder="1" applyProtection="1">
      <protection locked="0"/>
    </xf>
    <xf numFmtId="176" fontId="6" fillId="8" borderId="13" xfId="3" applyNumberFormat="1" applyFont="1" applyFill="1" applyBorder="1" applyProtection="1">
      <protection locked="0"/>
    </xf>
    <xf numFmtId="176" fontId="6" fillId="8" borderId="15" xfId="3" applyNumberFormat="1" applyFont="1" applyFill="1" applyBorder="1" applyProtection="1">
      <protection locked="0"/>
    </xf>
    <xf numFmtId="1" fontId="6" fillId="8" borderId="15" xfId="3" applyNumberFormat="1" applyFont="1" applyFill="1" applyBorder="1" applyProtection="1">
      <protection locked="0"/>
    </xf>
    <xf numFmtId="2" fontId="6" fillId="8" borderId="15" xfId="3" applyNumberFormat="1" applyFont="1" applyFill="1" applyBorder="1" applyProtection="1">
      <protection locked="0"/>
    </xf>
    <xf numFmtId="176" fontId="6" fillId="0" borderId="33" xfId="3" applyNumberFormat="1" applyFont="1" applyBorder="1" applyProtection="1">
      <protection locked="0"/>
    </xf>
    <xf numFmtId="2" fontId="6" fillId="4" borderId="33" xfId="3" applyNumberFormat="1" applyFont="1" applyFill="1" applyBorder="1" applyProtection="1">
      <protection locked="0"/>
    </xf>
    <xf numFmtId="2" fontId="6" fillId="0" borderId="33" xfId="3" applyNumberFormat="1" applyFont="1" applyBorder="1" applyProtection="1">
      <protection locked="0"/>
    </xf>
    <xf numFmtId="2" fontId="6" fillId="4" borderId="34" xfId="3" applyNumberFormat="1" applyFont="1" applyFill="1" applyBorder="1" applyProtection="1">
      <protection locked="0"/>
    </xf>
    <xf numFmtId="2" fontId="6" fillId="0" borderId="34" xfId="3" applyNumberFormat="1" applyFont="1" applyBorder="1" applyProtection="1">
      <protection locked="0"/>
    </xf>
    <xf numFmtId="2" fontId="6" fillId="4" borderId="33" xfId="5" applyNumberFormat="1" applyFont="1" applyFill="1" applyBorder="1" applyAlignment="1" applyProtection="1">
      <protection locked="0"/>
    </xf>
    <xf numFmtId="2" fontId="6" fillId="0" borderId="25" xfId="3" applyNumberFormat="1" applyFont="1" applyBorder="1" applyAlignment="1" applyProtection="1">
      <alignment horizontal="center" vertical="center" shrinkToFit="1"/>
      <protection locked="0"/>
    </xf>
    <xf numFmtId="2" fontId="6" fillId="0" borderId="27" xfId="3" applyNumberFormat="1" applyFont="1" applyBorder="1" applyAlignment="1" applyProtection="1">
      <alignment horizontal="center" vertical="center" shrinkToFit="1"/>
      <protection locked="0"/>
    </xf>
    <xf numFmtId="0" fontId="25" fillId="0" borderId="0" xfId="0" applyFont="1" applyFill="1" applyBorder="1" applyAlignment="1">
      <alignment horizontal="left" vertical="center"/>
    </xf>
    <xf numFmtId="2" fontId="4" fillId="3" borderId="24" xfId="3" applyFont="1" applyFill="1" applyBorder="1" applyAlignment="1">
      <alignment horizontal="center" vertical="center" wrapText="1"/>
    </xf>
    <xf numFmtId="2" fontId="5" fillId="5" borderId="26" xfId="3" applyNumberFormat="1" applyFont="1" applyFill="1" applyBorder="1" applyAlignment="1" applyProtection="1">
      <alignment horizontal="center"/>
    </xf>
    <xf numFmtId="0" fontId="6" fillId="0" borderId="28" xfId="1" applyNumberFormat="1" applyFont="1" applyBorder="1" applyAlignment="1" applyProtection="1">
      <alignment horizontal="center" shrinkToFit="1"/>
      <protection locked="0"/>
    </xf>
    <xf numFmtId="0" fontId="6" fillId="0" borderId="29" xfId="1" applyNumberFormat="1" applyFont="1" applyBorder="1" applyAlignment="1" applyProtection="1">
      <alignment horizontal="center" shrinkToFit="1"/>
      <protection locked="0"/>
    </xf>
    <xf numFmtId="0" fontId="6" fillId="0" borderId="30" xfId="1" applyNumberFormat="1" applyFont="1" applyBorder="1" applyAlignment="1" applyProtection="1">
      <alignment horizontal="center" shrinkToFit="1"/>
      <protection locked="0"/>
    </xf>
    <xf numFmtId="2" fontId="9" fillId="0" borderId="1" xfId="3" applyFont="1" applyBorder="1" applyAlignment="1">
      <alignment horizontal="left" shrinkToFit="1"/>
    </xf>
    <xf numFmtId="2" fontId="4" fillId="0" borderId="0" xfId="3" applyFont="1" applyAlignment="1">
      <alignment horizontal="center" vertical="center"/>
    </xf>
    <xf numFmtId="2" fontId="4" fillId="0" borderId="5" xfId="3" applyFont="1" applyBorder="1" applyAlignment="1">
      <alignment horizontal="center" vertical="center"/>
    </xf>
    <xf numFmtId="2" fontId="13" fillId="0" borderId="0" xfId="3" applyFont="1" applyFill="1" applyBorder="1" applyAlignment="1">
      <alignment horizontal="left" vertical="center"/>
    </xf>
  </cellXfs>
  <cellStyles count="6">
    <cellStyle name="パーセント" xfId="5" builtinId="5"/>
    <cellStyle name="桁区切り 2" xfId="1"/>
    <cellStyle name="標準" xfId="0" builtinId="0"/>
    <cellStyle name="標準 2" xfId="2"/>
    <cellStyle name="標準 3 4" xfId="4"/>
    <cellStyle name="標準_ﾊﾞﾀｰﾛｰﾙ生地" xfId="3"/>
  </cellStyles>
  <dxfs count="1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FF"/>
      <color rgb="FFFFFFCC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3" name="角丸四角形 2"/>
        <xdr:cNvSpPr/>
      </xdr:nvSpPr>
      <xdr:spPr bwMode="auto">
        <a:xfrm>
          <a:off x="12722677" y="367393"/>
          <a:ext cx="2517322" cy="612321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4" name="角丸四角形吹き出し 3"/>
        <xdr:cNvSpPr/>
      </xdr:nvSpPr>
      <xdr:spPr bwMode="auto">
        <a:xfrm>
          <a:off x="11144249" y="5129892"/>
          <a:ext cx="1387929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86</xdr:row>
          <xdr:rowOff>0</xdr:rowOff>
        </xdr:from>
        <xdr:to>
          <xdr:col>18</xdr:col>
          <xdr:colOff>0</xdr:colOff>
          <xdr:row>87</xdr:row>
          <xdr:rowOff>99060</xdr:rowOff>
        </xdr:to>
        <xdr:sp macro="" textlink="">
          <xdr:nvSpPr>
            <xdr:cNvPr id="2049" name="cmdCopy87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487680</xdr:colOff>
          <xdr:row>87</xdr:row>
          <xdr:rowOff>99060</xdr:rowOff>
        </xdr:to>
        <xdr:sp macro="" textlink="">
          <xdr:nvSpPr>
            <xdr:cNvPr id="2050" name="cmdClear87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103</xdr:row>
          <xdr:rowOff>0</xdr:rowOff>
        </xdr:from>
        <xdr:to>
          <xdr:col>18</xdr:col>
          <xdr:colOff>0</xdr:colOff>
          <xdr:row>104</xdr:row>
          <xdr:rowOff>60960</xdr:rowOff>
        </xdr:to>
        <xdr:sp macro="" textlink="">
          <xdr:nvSpPr>
            <xdr:cNvPr id="2051" name="cmdCopy104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103</xdr:row>
          <xdr:rowOff>0</xdr:rowOff>
        </xdr:from>
        <xdr:to>
          <xdr:col>25</xdr:col>
          <xdr:colOff>457200</xdr:colOff>
          <xdr:row>104</xdr:row>
          <xdr:rowOff>60960</xdr:rowOff>
        </xdr:to>
        <xdr:sp macro="" textlink="">
          <xdr:nvSpPr>
            <xdr:cNvPr id="2052" name="cmdClear10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149677</xdr:colOff>
      <xdr:row>1</xdr:row>
      <xdr:rowOff>149679</xdr:rowOff>
    </xdr:from>
    <xdr:to>
      <xdr:col>30</xdr:col>
      <xdr:colOff>190499</xdr:colOff>
      <xdr:row>4</xdr:row>
      <xdr:rowOff>108857</xdr:rowOff>
    </xdr:to>
    <xdr:sp macro="" textlink="">
      <xdr:nvSpPr>
        <xdr:cNvPr id="2" name="角丸四角形 1"/>
        <xdr:cNvSpPr/>
      </xdr:nvSpPr>
      <xdr:spPr bwMode="auto">
        <a:xfrm>
          <a:off x="12856027" y="368754"/>
          <a:ext cx="2507797" cy="616403"/>
        </a:xfrm>
        <a:prstGeom prst="roundRect">
          <a:avLst/>
        </a:prstGeom>
        <a:solidFill>
          <a:srgbClr val="FF0000"/>
        </a:solidFill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2800" b="1">
              <a:solidFill>
                <a:schemeClr val="bg1"/>
              </a:solidFill>
            </a:rPr>
            <a:t>強調表示</a:t>
          </a:r>
          <a:endParaRPr kumimoji="1" lang="en-US" altLang="ja-JP" sz="28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299356</xdr:colOff>
      <xdr:row>19</xdr:row>
      <xdr:rowOff>258535</xdr:rowOff>
    </xdr:from>
    <xdr:to>
      <xdr:col>25</xdr:col>
      <xdr:colOff>489857</xdr:colOff>
      <xdr:row>24</xdr:row>
      <xdr:rowOff>231322</xdr:rowOff>
    </xdr:to>
    <xdr:sp macro="" textlink="">
      <xdr:nvSpPr>
        <xdr:cNvPr id="3" name="角丸四角形吹き出し 2"/>
        <xdr:cNvSpPr/>
      </xdr:nvSpPr>
      <xdr:spPr bwMode="auto">
        <a:xfrm>
          <a:off x="11234056" y="5144860"/>
          <a:ext cx="1438276" cy="1401537"/>
        </a:xfrm>
        <a:prstGeom prst="wedgeRoundRectCallout">
          <a:avLst>
            <a:gd name="adj1" fmla="val 45834"/>
            <a:gd name="adj2" fmla="val -76388"/>
            <a:gd name="adj3" fmla="val 1666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100g</a:t>
          </a:r>
          <a:r>
            <a:rPr kumimoji="1" lang="ja-JP" altLang="en-US" sz="1100"/>
            <a:t>当たりの食物繊維に、切り捨ての数式は使用していない</a:t>
          </a:r>
          <a:endParaRPr kumimoji="1" lang="en-US" altLang="ja-JP" sz="1100"/>
        </a:p>
        <a:p>
          <a:pPr algn="ctr"/>
          <a:r>
            <a:rPr kumimoji="1" lang="ja-JP" altLang="en-US" sz="1100"/>
            <a:t>（糖質と食物繊維の合計値にズレが生じるため）</a:t>
          </a:r>
        </a:p>
      </xdr:txBody>
    </xdr:sp>
    <xdr:clientData fPrintsWithSheet="0"/>
  </xdr:twoCellAnchor>
  <xdr:twoCellAnchor>
    <xdr:from>
      <xdr:col>10</xdr:col>
      <xdr:colOff>248129</xdr:colOff>
      <xdr:row>72</xdr:row>
      <xdr:rowOff>165689</xdr:rowOff>
    </xdr:from>
    <xdr:to>
      <xdr:col>20</xdr:col>
      <xdr:colOff>22412</xdr:colOff>
      <xdr:row>83</xdr:row>
      <xdr:rowOff>11206</xdr:rowOff>
    </xdr:to>
    <xdr:sp macro="" textlink="">
      <xdr:nvSpPr>
        <xdr:cNvPr id="4" name="四角形吹き出し 3"/>
        <xdr:cNvSpPr/>
      </xdr:nvSpPr>
      <xdr:spPr bwMode="auto">
        <a:xfrm>
          <a:off x="8607717" y="17646865"/>
          <a:ext cx="3180871" cy="2310812"/>
        </a:xfrm>
        <a:prstGeom prst="wedgeRectCallou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一度コピーボタンを押した後に、配合を変更して、</a:t>
          </a:r>
          <a:endParaRPr kumimoji="1" lang="en-US" altLang="ja-JP" sz="1200"/>
        </a:p>
        <a:p>
          <a:pPr algn="ctr"/>
          <a:r>
            <a:rPr kumimoji="1" lang="ja-JP" altLang="en-US" sz="1200"/>
            <a:t>コピーボタンを押し忘れる場合があり、赤枠の部分の</a:t>
          </a:r>
          <a:r>
            <a:rPr kumimoji="1" lang="en-US" altLang="ja-JP" sz="1200"/>
            <a:t>100</a:t>
          </a:r>
          <a:r>
            <a:rPr kumimoji="1" lang="ja-JP" altLang="en-US" sz="1200"/>
            <a:t>ｇ当たりと修正後で数値が異なってしまうことがあります。コピーボタンを押し忘れないようにチェック機能をつけたいです。</a:t>
          </a:r>
          <a:endParaRPr kumimoji="1" lang="en-US" altLang="ja-JP" sz="1200"/>
        </a:p>
        <a:p>
          <a:pPr algn="ctr"/>
          <a:endParaRPr kumimoji="1" lang="en-US" altLang="ja-JP" sz="1200"/>
        </a:p>
        <a:p>
          <a:pPr algn="ctr"/>
          <a:r>
            <a:rPr kumimoji="1" lang="ja-JP" altLang="en-US" sz="1200"/>
            <a:t>押し忘れてる際に、薄いピンク色のセルの色を赤や黄色に変える等はできますか？</a:t>
          </a:r>
          <a:endParaRPr kumimoji="1" lang="en-US" altLang="ja-JP" sz="1200"/>
        </a:p>
        <a:p>
          <a:pPr algn="ctr"/>
          <a:endParaRPr kumimoji="1" lang="en-US" altLang="ja-JP" sz="1200"/>
        </a:p>
      </xdr:txBody>
    </xdr:sp>
    <xdr:clientData/>
  </xdr:twoCellAnchor>
  <xdr:twoCellAnchor>
    <xdr:from>
      <xdr:col>2</xdr:col>
      <xdr:colOff>0</xdr:colOff>
      <xdr:row>85</xdr:row>
      <xdr:rowOff>11206</xdr:rowOff>
    </xdr:from>
    <xdr:to>
      <xdr:col>12</xdr:col>
      <xdr:colOff>0</xdr:colOff>
      <xdr:row>87</xdr:row>
      <xdr:rowOff>0</xdr:rowOff>
    </xdr:to>
    <xdr:sp macro="" textlink="">
      <xdr:nvSpPr>
        <xdr:cNvPr id="5" name="正方形/長方形 4"/>
        <xdr:cNvSpPr/>
      </xdr:nvSpPr>
      <xdr:spPr bwMode="auto">
        <a:xfrm>
          <a:off x="2073088" y="20405912"/>
          <a:ext cx="8045824" cy="437029"/>
        </a:xfrm>
        <a:prstGeom prst="rect">
          <a:avLst/>
        </a:prstGeom>
        <a:noFill/>
        <a:ln w="444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86</xdr:row>
          <xdr:rowOff>0</xdr:rowOff>
        </xdr:from>
        <xdr:to>
          <xdr:col>18</xdr:col>
          <xdr:colOff>0</xdr:colOff>
          <xdr:row>87</xdr:row>
          <xdr:rowOff>99060</xdr:rowOff>
        </xdr:to>
        <xdr:sp macro="" textlink="">
          <xdr:nvSpPr>
            <xdr:cNvPr id="12289" name="cmdCopy87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86</xdr:row>
          <xdr:rowOff>0</xdr:rowOff>
        </xdr:from>
        <xdr:to>
          <xdr:col>25</xdr:col>
          <xdr:colOff>487680</xdr:colOff>
          <xdr:row>87</xdr:row>
          <xdr:rowOff>99060</xdr:rowOff>
        </xdr:to>
        <xdr:sp macro="" textlink="">
          <xdr:nvSpPr>
            <xdr:cNvPr id="12290" name="cmdClear87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103</xdr:row>
          <xdr:rowOff>0</xdr:rowOff>
        </xdr:from>
        <xdr:to>
          <xdr:col>18</xdr:col>
          <xdr:colOff>0</xdr:colOff>
          <xdr:row>104</xdr:row>
          <xdr:rowOff>60960</xdr:rowOff>
        </xdr:to>
        <xdr:sp macro="" textlink="">
          <xdr:nvSpPr>
            <xdr:cNvPr id="12291" name="cmdCopy104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</xdr:colOff>
          <xdr:row>103</xdr:row>
          <xdr:rowOff>0</xdr:rowOff>
        </xdr:from>
        <xdr:to>
          <xdr:col>25</xdr:col>
          <xdr:colOff>457200</xdr:colOff>
          <xdr:row>104</xdr:row>
          <xdr:rowOff>60960</xdr:rowOff>
        </xdr:to>
        <xdr:sp macro="" textlink="">
          <xdr:nvSpPr>
            <xdr:cNvPr id="12292" name="cmdClear10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9">
    <pageSetUpPr fitToPage="1"/>
  </sheetPr>
  <dimension ref="A1:AK120"/>
  <sheetViews>
    <sheetView showGridLines="0" tabSelected="1" zoomScale="70" zoomScaleNormal="70" workbookViewId="0"/>
  </sheetViews>
  <sheetFormatPr defaultColWidth="10.6640625" defaultRowHeight="16.2" x14ac:dyDescent="0.2"/>
  <cols>
    <col min="1" max="1" width="18.6640625" style="4" customWidth="1"/>
    <col min="2" max="2" width="8.44140625" style="4" customWidth="1"/>
    <col min="3" max="5" width="9.6640625" style="4" customWidth="1"/>
    <col min="6" max="6" width="12.109375" style="4" customWidth="1"/>
    <col min="7" max="8" width="9.6640625" style="4" customWidth="1"/>
    <col min="9" max="10" width="11.21875" style="4" customWidth="1"/>
    <col min="11" max="11" width="11.77734375" style="4" customWidth="1"/>
    <col min="12" max="12" width="11.21875" style="88" customWidth="1"/>
    <col min="13" max="13" width="10.6640625" style="4"/>
    <col min="14" max="14" width="4" style="4" customWidth="1"/>
    <col min="15" max="25" width="1.109375" style="4" customWidth="1"/>
    <col min="26" max="26" width="6.88671875" style="4" customWidth="1"/>
    <col min="27" max="27" width="18.88671875" style="4" customWidth="1"/>
    <col min="28" max="28" width="3.44140625" style="4" customWidth="1"/>
    <col min="29" max="29" width="3.88671875" style="4" customWidth="1"/>
    <col min="30" max="30" width="6.109375" style="4" bestFit="1" customWidth="1"/>
    <col min="31" max="31" width="14.44140625" style="4" customWidth="1"/>
    <col min="32" max="32" width="6.109375" style="4" customWidth="1"/>
    <col min="33" max="33" width="14.6640625" style="4" customWidth="1"/>
    <col min="34" max="34" width="12.77734375" style="4" customWidth="1"/>
    <col min="35" max="36" width="10.6640625" style="4" customWidth="1"/>
    <col min="37" max="37" width="14" style="4" bestFit="1" customWidth="1"/>
    <col min="38" max="16384" width="10.6640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80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73" t="s">
        <v>117</v>
      </c>
      <c r="H4" s="1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7" t="s">
        <v>1</v>
      </c>
      <c r="B5" s="177"/>
      <c r="C5" s="177"/>
      <c r="D5" s="177"/>
      <c r="E5" s="177"/>
      <c r="F5" s="125" t="s">
        <v>68</v>
      </c>
      <c r="G5" s="125" t="s">
        <v>69</v>
      </c>
      <c r="H5" s="125" t="s">
        <v>70</v>
      </c>
      <c r="I5" s="157" t="s">
        <v>115</v>
      </c>
      <c r="J5" s="2"/>
      <c r="K5" s="2" t="s">
        <v>71</v>
      </c>
      <c r="L5" s="3" t="s">
        <v>111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2026年4月21日</v>
      </c>
      <c r="AJ5" s="5"/>
    </row>
    <row r="6" spans="1:37" ht="21" x14ac:dyDescent="0.25">
      <c r="A6" s="178" t="s">
        <v>108</v>
      </c>
      <c r="B6" s="179"/>
      <c r="C6" s="179"/>
      <c r="D6" s="179"/>
      <c r="E6" s="180"/>
      <c r="F6" s="126" t="s">
        <v>109</v>
      </c>
      <c r="G6" s="127" t="s">
        <v>110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3.4" x14ac:dyDescent="0.3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42</v>
      </c>
      <c r="AA7" s="16" t="s">
        <v>14</v>
      </c>
      <c r="AB7" s="181" t="str">
        <f>IF(COUNTIF($F$6,"1"),CONCATENATE($A$6,"(",$H$6,")"),CONCATENATE($A$6,$F$6,$G$6,"入","(",$H$6,")"))</f>
        <v>焼きいも一本(東京)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106" t="s">
        <v>85</v>
      </c>
      <c r="B8" s="107">
        <v>80</v>
      </c>
      <c r="C8" s="108">
        <v>14.4</v>
      </c>
      <c r="D8" s="108">
        <v>11.6</v>
      </c>
      <c r="E8" s="108">
        <v>1.5</v>
      </c>
      <c r="F8" s="108">
        <v>69.34</v>
      </c>
      <c r="G8" s="108">
        <v>2.7</v>
      </c>
      <c r="H8" s="108">
        <v>0.46</v>
      </c>
      <c r="I8" s="108"/>
      <c r="J8" s="108"/>
      <c r="K8" s="108">
        <v>0.35</v>
      </c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86</v>
      </c>
      <c r="B9" s="107">
        <v>10</v>
      </c>
      <c r="C9" s="108">
        <v>14.4</v>
      </c>
      <c r="D9" s="108">
        <v>12</v>
      </c>
      <c r="E9" s="108">
        <v>2</v>
      </c>
      <c r="F9" s="108">
        <v>50.8</v>
      </c>
      <c r="G9" s="108">
        <v>20.3</v>
      </c>
      <c r="H9" s="108">
        <v>0.5</v>
      </c>
      <c r="I9" s="108">
        <v>1</v>
      </c>
      <c r="J9" s="108"/>
      <c r="K9" s="108">
        <v>0.4</v>
      </c>
      <c r="L9" s="108">
        <v>1</v>
      </c>
      <c r="M9" s="4">
        <f>SUM(C9:H9)</f>
        <v>99.999999999999986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87</v>
      </c>
      <c r="B10" s="107">
        <v>10</v>
      </c>
      <c r="C10" s="108">
        <v>14.5</v>
      </c>
      <c r="D10" s="108">
        <v>8</v>
      </c>
      <c r="E10" s="108">
        <v>1.5</v>
      </c>
      <c r="F10" s="108">
        <v>73.099999999999994</v>
      </c>
      <c r="G10" s="108">
        <v>2.5</v>
      </c>
      <c r="H10" s="108">
        <v>0.4</v>
      </c>
      <c r="I10" s="108">
        <v>0</v>
      </c>
      <c r="J10" s="108">
        <v>0</v>
      </c>
      <c r="K10" s="108">
        <v>0.34</v>
      </c>
      <c r="L10" s="108">
        <v>0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88</v>
      </c>
      <c r="B11" s="107">
        <v>4</v>
      </c>
      <c r="C11" s="108">
        <v>68.099999999999994</v>
      </c>
      <c r="D11" s="108">
        <v>16.5</v>
      </c>
      <c r="E11" s="108">
        <v>1.5</v>
      </c>
      <c r="F11" s="108">
        <v>1.8</v>
      </c>
      <c r="G11" s="108">
        <v>10.3</v>
      </c>
      <c r="H11" s="108">
        <v>1.8</v>
      </c>
      <c r="I11" s="108">
        <v>39</v>
      </c>
      <c r="J11" s="108">
        <v>0</v>
      </c>
      <c r="K11" s="108">
        <v>0.19</v>
      </c>
      <c r="L11" s="108">
        <v>0</v>
      </c>
      <c r="M11" s="4">
        <f t="shared" si="0"/>
        <v>99.999999999999986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3">
      <c r="A12" s="106" t="s">
        <v>89</v>
      </c>
      <c r="B12" s="107">
        <v>0.1</v>
      </c>
      <c r="C12" s="108">
        <v>4.9000000000000004</v>
      </c>
      <c r="D12" s="108">
        <v>3.6</v>
      </c>
      <c r="E12" s="108">
        <v>3.2</v>
      </c>
      <c r="F12" s="108">
        <v>21.7</v>
      </c>
      <c r="G12" s="108">
        <v>0</v>
      </c>
      <c r="H12" s="108">
        <v>66.599999999999994</v>
      </c>
      <c r="I12" s="108">
        <v>7830</v>
      </c>
      <c r="J12" s="108">
        <v>0</v>
      </c>
      <c r="K12" s="108">
        <v>2.15</v>
      </c>
      <c r="L12" s="108">
        <v>0.21</v>
      </c>
      <c r="M12" s="4">
        <f t="shared" si="0"/>
        <v>100</v>
      </c>
      <c r="AA12" s="16" t="s">
        <v>15</v>
      </c>
      <c r="AB12" s="5"/>
      <c r="AC12" s="5"/>
      <c r="AD12" s="17"/>
      <c r="AE12" s="182" t="s">
        <v>59</v>
      </c>
      <c r="AG12" s="184" t="str">
        <f>"1"&amp;$G$6&amp;"当たり"</f>
        <v>1個当たり</v>
      </c>
      <c r="AH12" s="184"/>
      <c r="AI12" s="184"/>
      <c r="AJ12" s="18"/>
      <c r="AK12" s="176" t="s">
        <v>45</v>
      </c>
    </row>
    <row r="13" spans="1:37" ht="24.6" x14ac:dyDescent="0.3">
      <c r="A13" s="106" t="s">
        <v>90</v>
      </c>
      <c r="B13" s="107">
        <v>1.8</v>
      </c>
      <c r="C13" s="108">
        <v>0.01</v>
      </c>
      <c r="D13" s="108">
        <v>0</v>
      </c>
      <c r="E13" s="108">
        <v>0</v>
      </c>
      <c r="F13" s="108">
        <v>0</v>
      </c>
      <c r="G13" s="108">
        <v>0</v>
      </c>
      <c r="H13" s="108">
        <v>99.99</v>
      </c>
      <c r="I13" s="108">
        <v>39331</v>
      </c>
      <c r="J13" s="108">
        <v>0</v>
      </c>
      <c r="K13" s="108">
        <v>0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83"/>
      <c r="AF13" s="17"/>
      <c r="AG13" s="152">
        <f>IF((COUNTIF($A$6,"*7P*")+COUNTIF($A$6,"*ｾﾌﾞﾝﾌﾟﾚﾐｱﾑ*")),$B$106,ROUND($B$102,0))</f>
        <v>103</v>
      </c>
      <c r="AH13" s="21" t="s">
        <v>16</v>
      </c>
      <c r="AI13" s="20"/>
      <c r="AJ13" s="22"/>
      <c r="AK13" s="176"/>
    </row>
    <row r="14" spans="1:37" s="23" customFormat="1" ht="22.8" x14ac:dyDescent="0.3">
      <c r="A14" s="106" t="s">
        <v>91</v>
      </c>
      <c r="B14" s="107">
        <v>18</v>
      </c>
      <c r="C14" s="108">
        <v>0.7</v>
      </c>
      <c r="D14" s="108">
        <v>0</v>
      </c>
      <c r="E14" s="108">
        <v>0</v>
      </c>
      <c r="F14" s="108">
        <v>99.3</v>
      </c>
      <c r="G14" s="108"/>
      <c r="H14" s="108">
        <v>0</v>
      </c>
      <c r="I14" s="108">
        <v>1</v>
      </c>
      <c r="J14" s="108"/>
      <c r="K14" s="108"/>
      <c r="L14" s="108">
        <v>0</v>
      </c>
      <c r="M14" s="4">
        <f t="shared" si="0"/>
        <v>100</v>
      </c>
      <c r="N14" s="4"/>
      <c r="AA14" s="24" t="str">
        <f>IF(COUNTIF(A6,"*FM*"),"熱量","エネルギー")</f>
        <v>エネルギー</v>
      </c>
      <c r="AB14" s="25"/>
      <c r="AC14" s="26"/>
      <c r="AD14" s="26"/>
      <c r="AE14" s="27">
        <f>$C$108</f>
        <v>325</v>
      </c>
      <c r="AF14" s="28"/>
      <c r="AG14" s="27">
        <f>ROUND((AG15+AG18)*4+(AG16*9)+(AG19*2),0)</f>
        <v>335</v>
      </c>
      <c r="AH14" s="26" t="s">
        <v>50</v>
      </c>
      <c r="AI14" s="29"/>
      <c r="AJ14" s="25"/>
      <c r="AK14" s="105">
        <v>0</v>
      </c>
    </row>
    <row r="15" spans="1:37" ht="22.8" x14ac:dyDescent="0.3">
      <c r="A15" s="106" t="s">
        <v>92</v>
      </c>
      <c r="B15" s="107">
        <v>3</v>
      </c>
      <c r="C15" s="108">
        <v>40.4</v>
      </c>
      <c r="D15" s="108">
        <v>0</v>
      </c>
      <c r="E15" s="108">
        <v>28.5</v>
      </c>
      <c r="F15" s="108">
        <v>31.1</v>
      </c>
      <c r="G15" s="108">
        <v>0</v>
      </c>
      <c r="H15" s="108">
        <v>0</v>
      </c>
      <c r="I15" s="108">
        <v>4</v>
      </c>
      <c r="J15" s="108">
        <v>0.1</v>
      </c>
      <c r="K15" s="108">
        <v>12.75</v>
      </c>
      <c r="L15" s="108">
        <v>0</v>
      </c>
      <c r="M15" s="4">
        <f t="shared" si="0"/>
        <v>100</v>
      </c>
      <c r="AA15" s="30" t="s">
        <v>17</v>
      </c>
      <c r="AB15" s="31"/>
      <c r="AC15" s="26"/>
      <c r="AD15" s="26"/>
      <c r="AE15" s="29">
        <f>$D$104</f>
        <v>6.8</v>
      </c>
      <c r="AF15" s="28"/>
      <c r="AG15" s="29">
        <f>ROUND(($AG$13*AE15)/100,1)</f>
        <v>7</v>
      </c>
      <c r="AH15" s="26" t="s">
        <v>60</v>
      </c>
      <c r="AI15" s="29"/>
      <c r="AJ15" s="31"/>
      <c r="AK15" s="105">
        <v>1</v>
      </c>
    </row>
    <row r="16" spans="1:37" ht="22.8" x14ac:dyDescent="0.3">
      <c r="A16" s="106" t="s">
        <v>93</v>
      </c>
      <c r="B16" s="107">
        <v>7</v>
      </c>
      <c r="C16" s="108">
        <v>16.5</v>
      </c>
      <c r="D16" s="108">
        <v>0</v>
      </c>
      <c r="E16" s="108">
        <v>83.2</v>
      </c>
      <c r="F16" s="108">
        <v>0</v>
      </c>
      <c r="G16" s="108">
        <v>0</v>
      </c>
      <c r="H16" s="108">
        <v>0.3</v>
      </c>
      <c r="I16" s="108">
        <v>118</v>
      </c>
      <c r="J16" s="108">
        <v>0.8</v>
      </c>
      <c r="K16" s="108">
        <v>31.1</v>
      </c>
      <c r="L16" s="108">
        <v>1</v>
      </c>
      <c r="M16" s="23">
        <f t="shared" si="0"/>
        <v>100</v>
      </c>
      <c r="N16" s="23"/>
      <c r="AA16" s="30" t="s">
        <v>18</v>
      </c>
      <c r="AB16" s="26"/>
      <c r="AC16" s="26"/>
      <c r="AD16" s="26"/>
      <c r="AE16" s="29">
        <f>$E$104</f>
        <v>6.4</v>
      </c>
      <c r="AF16" s="28"/>
      <c r="AG16" s="29">
        <f>ROUND(($AG$13*AE16)/100,1)</f>
        <v>6.6</v>
      </c>
      <c r="AH16" s="26" t="s">
        <v>60</v>
      </c>
      <c r="AI16" s="29"/>
      <c r="AJ16" s="31"/>
      <c r="AK16" s="105">
        <v>1</v>
      </c>
    </row>
    <row r="17" spans="1:37" ht="22.8" x14ac:dyDescent="0.3">
      <c r="A17" s="106" t="s">
        <v>94</v>
      </c>
      <c r="B17" s="107">
        <v>1</v>
      </c>
      <c r="C17" s="108">
        <v>26.3</v>
      </c>
      <c r="D17" s="108">
        <v>0.1</v>
      </c>
      <c r="E17" s="108">
        <v>12.7</v>
      </c>
      <c r="F17" s="108">
        <v>60.9</v>
      </c>
      <c r="G17" s="108">
        <v>0</v>
      </c>
      <c r="H17" s="108">
        <v>0</v>
      </c>
      <c r="I17" s="108">
        <v>25</v>
      </c>
      <c r="J17" s="108">
        <v>0.03</v>
      </c>
      <c r="K17" s="108">
        <v>6.69</v>
      </c>
      <c r="L17" s="108">
        <v>2</v>
      </c>
      <c r="M17" s="4">
        <f t="shared" si="0"/>
        <v>100</v>
      </c>
      <c r="AA17" s="30" t="s">
        <v>20</v>
      </c>
      <c r="AB17" s="31"/>
      <c r="AC17" s="26"/>
      <c r="AD17" s="26"/>
      <c r="AE17" s="29">
        <f>$F$106</f>
        <v>61.600000000000009</v>
      </c>
      <c r="AF17" s="28"/>
      <c r="AG17" s="29">
        <f>AG18+AG19</f>
        <v>63.400000000000006</v>
      </c>
      <c r="AH17" s="26" t="s">
        <v>60</v>
      </c>
      <c r="AI17" s="29"/>
      <c r="AJ17" s="31"/>
      <c r="AK17" s="105">
        <v>1</v>
      </c>
    </row>
    <row r="18" spans="1:37" ht="22.8" x14ac:dyDescent="0.3">
      <c r="A18" s="106" t="s">
        <v>73</v>
      </c>
      <c r="B18" s="107">
        <v>2</v>
      </c>
      <c r="C18" s="108">
        <v>5.4</v>
      </c>
      <c r="D18" s="108">
        <v>14.1</v>
      </c>
      <c r="E18" s="108">
        <v>1.4</v>
      </c>
      <c r="F18" s="108">
        <v>76.2</v>
      </c>
      <c r="G18" s="108">
        <v>0.9</v>
      </c>
      <c r="H18" s="108">
        <v>2</v>
      </c>
      <c r="I18" s="108">
        <v>124</v>
      </c>
      <c r="J18" s="108">
        <v>0</v>
      </c>
      <c r="K18" s="108">
        <v>0.4</v>
      </c>
      <c r="L18" s="108">
        <v>0</v>
      </c>
      <c r="M18" s="4">
        <f t="shared" si="0"/>
        <v>100</v>
      </c>
      <c r="AA18" s="153" t="s">
        <v>78</v>
      </c>
      <c r="AB18" s="31"/>
      <c r="AC18" s="26"/>
      <c r="AD18" s="26"/>
      <c r="AE18" s="151">
        <f>$F$104</f>
        <v>58.400000000000006</v>
      </c>
      <c r="AF18" s="145"/>
      <c r="AG18" s="151">
        <f>ROUND(($AG$13*AE18)/100,1)</f>
        <v>60.2</v>
      </c>
      <c r="AH18" s="26" t="s">
        <v>60</v>
      </c>
      <c r="AI18" s="34"/>
      <c r="AJ18" s="31"/>
      <c r="AK18" s="105">
        <v>1</v>
      </c>
    </row>
    <row r="19" spans="1:37" ht="22.8" x14ac:dyDescent="0.3">
      <c r="A19" s="106" t="s">
        <v>95</v>
      </c>
      <c r="B19" s="107">
        <v>8</v>
      </c>
      <c r="C19" s="108">
        <v>83.1</v>
      </c>
      <c r="D19" s="108">
        <v>9.6</v>
      </c>
      <c r="E19" s="108">
        <v>5.4</v>
      </c>
      <c r="F19" s="108">
        <v>0.4</v>
      </c>
      <c r="G19" s="108">
        <v>0</v>
      </c>
      <c r="H19" s="108">
        <v>0.7</v>
      </c>
      <c r="I19" s="108">
        <v>130</v>
      </c>
      <c r="J19" s="108">
        <v>0</v>
      </c>
      <c r="K19" s="108">
        <v>1.65</v>
      </c>
      <c r="L19" s="108">
        <v>196</v>
      </c>
      <c r="M19" s="4">
        <f t="shared" si="0"/>
        <v>99.2</v>
      </c>
      <c r="N19" s="4" t="s">
        <v>96</v>
      </c>
      <c r="AA19" s="154" t="s">
        <v>79</v>
      </c>
      <c r="AB19" s="31"/>
      <c r="AC19" s="90"/>
      <c r="AD19" s="26"/>
      <c r="AE19" s="29">
        <f>$G$104</f>
        <v>3.2</v>
      </c>
      <c r="AF19" s="28"/>
      <c r="AG19" s="29">
        <f>ROUNDDOWN(($AG$13*AE19)/100,1)</f>
        <v>3.2</v>
      </c>
      <c r="AH19" s="90" t="s">
        <v>60</v>
      </c>
      <c r="AI19" s="34"/>
      <c r="AJ19" s="31"/>
      <c r="AK19" s="105">
        <v>1</v>
      </c>
    </row>
    <row r="20" spans="1:37" ht="22.8" x14ac:dyDescent="0.3">
      <c r="A20" s="106" t="s">
        <v>97</v>
      </c>
      <c r="B20" s="107">
        <v>0.4</v>
      </c>
      <c r="C20" s="108">
        <v>70.900000000000006</v>
      </c>
      <c r="D20" s="108">
        <v>9.1999999999999993</v>
      </c>
      <c r="E20" s="108">
        <v>3.5</v>
      </c>
      <c r="F20" s="108">
        <v>14.3</v>
      </c>
      <c r="G20" s="108">
        <v>0</v>
      </c>
      <c r="H20" s="108">
        <v>2.1</v>
      </c>
      <c r="I20" s="108">
        <v>123</v>
      </c>
      <c r="J20" s="108">
        <v>0.16</v>
      </c>
      <c r="K20" s="108">
        <v>2.2999999999999998</v>
      </c>
      <c r="L20" s="108">
        <v>31</v>
      </c>
      <c r="M20" s="4">
        <f t="shared" si="0"/>
        <v>100</v>
      </c>
      <c r="AA20" s="30" t="s">
        <v>21</v>
      </c>
      <c r="AB20" s="31"/>
      <c r="AC20" s="26"/>
      <c r="AD20" s="26"/>
      <c r="AE20" s="144">
        <f>IF($AE$22&lt;4.5,0,ROUND($AE$22/1000*2.54,2))</f>
        <v>0.61</v>
      </c>
      <c r="AF20" s="28"/>
      <c r="AG20" s="144">
        <f>IF($AE$22&lt;4.5,0,ROUND($AG$22/1000*2.54,2))</f>
        <v>0.63</v>
      </c>
      <c r="AH20" s="26" t="s">
        <v>60</v>
      </c>
      <c r="AI20" s="27"/>
      <c r="AJ20" s="31"/>
      <c r="AK20" s="105">
        <f>IF($AE$22&lt;4.5,0,2)</f>
        <v>2</v>
      </c>
    </row>
    <row r="21" spans="1:37" ht="22.8" x14ac:dyDescent="0.3">
      <c r="A21" s="106" t="s">
        <v>98</v>
      </c>
      <c r="B21" s="107">
        <v>1</v>
      </c>
      <c r="C21" s="108">
        <v>6.1</v>
      </c>
      <c r="D21" s="108">
        <v>72.5</v>
      </c>
      <c r="E21" s="108">
        <v>5.3</v>
      </c>
      <c r="F21" s="108">
        <v>13.5</v>
      </c>
      <c r="G21" s="108">
        <v>1.7</v>
      </c>
      <c r="H21" s="108">
        <v>0.9</v>
      </c>
      <c r="I21" s="108">
        <v>105</v>
      </c>
      <c r="J21" s="108">
        <v>0.1</v>
      </c>
      <c r="K21" s="108">
        <v>1</v>
      </c>
      <c r="L21" s="108">
        <v>0</v>
      </c>
      <c r="M21" s="4">
        <f t="shared" si="0"/>
        <v>100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8" x14ac:dyDescent="0.3">
      <c r="A22" s="106" t="s">
        <v>99</v>
      </c>
      <c r="B22" s="107">
        <v>0.2</v>
      </c>
      <c r="C22" s="108">
        <v>9.6</v>
      </c>
      <c r="D22" s="108">
        <v>32.299999999999997</v>
      </c>
      <c r="E22" s="108">
        <v>0.6</v>
      </c>
      <c r="F22" s="108">
        <v>55</v>
      </c>
      <c r="G22" s="108">
        <v>1.8</v>
      </c>
      <c r="H22" s="108">
        <v>0.7</v>
      </c>
      <c r="I22" s="108">
        <v>130</v>
      </c>
      <c r="J22" s="108">
        <v>0</v>
      </c>
      <c r="K22" s="108">
        <v>0.5</v>
      </c>
      <c r="L22" s="108">
        <v>0</v>
      </c>
      <c r="M22" s="4">
        <f t="shared" si="0"/>
        <v>100</v>
      </c>
      <c r="AA22" s="30" t="s">
        <v>22</v>
      </c>
      <c r="AB22" s="31"/>
      <c r="AC22" s="26"/>
      <c r="AD22" s="26"/>
      <c r="AE22" s="27">
        <f>$I$104</f>
        <v>242</v>
      </c>
      <c r="AF22" s="28"/>
      <c r="AG22" s="27">
        <f>ROUND(($AG$13*AE22)/100,0)</f>
        <v>249</v>
      </c>
      <c r="AH22" s="26" t="s">
        <v>61</v>
      </c>
      <c r="AI22" s="39"/>
      <c r="AJ22" s="37"/>
    </row>
    <row r="23" spans="1:37" ht="22.8" x14ac:dyDescent="0.3">
      <c r="A23" s="106" t="s">
        <v>100</v>
      </c>
      <c r="B23" s="107">
        <v>0.4</v>
      </c>
      <c r="C23" s="108">
        <v>0.38</v>
      </c>
      <c r="D23" s="108">
        <v>0.03</v>
      </c>
      <c r="E23" s="108">
        <v>0.65</v>
      </c>
      <c r="F23" s="108">
        <v>53.74</v>
      </c>
      <c r="G23" s="108">
        <v>0</v>
      </c>
      <c r="H23" s="108">
        <v>45.2</v>
      </c>
      <c r="I23" s="108">
        <v>19600</v>
      </c>
      <c r="J23" s="108">
        <v>0</v>
      </c>
      <c r="K23" s="108">
        <v>0.5</v>
      </c>
      <c r="L23" s="108">
        <v>0</v>
      </c>
      <c r="M23" s="4">
        <f t="shared" ref="M23:M37" si="1">SUM(C23:H23)</f>
        <v>100</v>
      </c>
      <c r="AA23" s="30" t="s">
        <v>23</v>
      </c>
      <c r="AB23" s="37"/>
      <c r="AC23" s="38"/>
      <c r="AD23" s="38"/>
      <c r="AE23" s="40">
        <f>$C$104</f>
        <v>24.3</v>
      </c>
      <c r="AF23" s="146"/>
      <c r="AG23" s="40">
        <f>ROUND(($AG$13*AE23)/100,1)</f>
        <v>25</v>
      </c>
      <c r="AH23" s="38" t="s">
        <v>60</v>
      </c>
      <c r="AI23" s="34"/>
      <c r="AJ23" s="31"/>
    </row>
    <row r="24" spans="1:37" ht="22.8" x14ac:dyDescent="0.3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>
        <f>$H$104</f>
        <v>0.9</v>
      </c>
      <c r="AF24" s="146"/>
      <c r="AG24" s="40">
        <f>ROUND(($AG$13*AE24)/100,1)</f>
        <v>0.9</v>
      </c>
      <c r="AH24" s="38" t="s">
        <v>60</v>
      </c>
      <c r="AI24" s="34"/>
      <c r="AJ24" s="31"/>
    </row>
    <row r="25" spans="1:37" ht="22.65" customHeight="1" x14ac:dyDescent="0.3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str">
        <f>IF(AG25&lt;15,"","＊1")</f>
        <v/>
      </c>
      <c r="AA25" s="30" t="s">
        <v>12</v>
      </c>
      <c r="AB25" s="26"/>
      <c r="AC25" s="26"/>
      <c r="AD25" s="26"/>
      <c r="AE25" s="144">
        <f>$K$104</f>
        <v>2.2799999999999998</v>
      </c>
      <c r="AF25" s="43"/>
      <c r="AG25" s="144">
        <f>ROUND(($AG$13*AE25)/100,2)</f>
        <v>2.35</v>
      </c>
      <c r="AH25" s="26" t="s">
        <v>60</v>
      </c>
      <c r="AI25" s="34"/>
      <c r="AJ25" s="31"/>
      <c r="AK25" s="105">
        <v>2</v>
      </c>
    </row>
    <row r="26" spans="1:37" ht="22.8" x14ac:dyDescent="0.3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str">
        <f>IF(OR(AND(AE26&gt;=0.3,AG26*VALUE(F6)&gt;=0.45),AE26&gt;=0.45,AND(AG13&gt;=100,AG26*VALUE(F6)&gt;=0.45)),"＊2","")</f>
        <v/>
      </c>
      <c r="AA26" s="30" t="s">
        <v>28</v>
      </c>
      <c r="AB26" s="26"/>
      <c r="AC26" s="26"/>
      <c r="AD26" s="26"/>
      <c r="AE26" s="144">
        <f>$J$104</f>
        <v>0.05</v>
      </c>
      <c r="AF26" s="44"/>
      <c r="AG26" s="144">
        <f>ROUND(($AG$13*AE26)/100,2)</f>
        <v>0.05</v>
      </c>
      <c r="AH26" s="26" t="s">
        <v>60</v>
      </c>
      <c r="AI26" s="34"/>
      <c r="AJ26" s="31"/>
      <c r="AK26" s="105">
        <v>2</v>
      </c>
    </row>
    <row r="27" spans="1:37" ht="22.8" x14ac:dyDescent="0.3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>
        <f>$L$104</f>
        <v>9</v>
      </c>
      <c r="AF27" s="44"/>
      <c r="AG27" s="27">
        <f>ROUND(($AG$13*AE27)/100,0)</f>
        <v>9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75" t="s">
        <v>67</v>
      </c>
      <c r="AB31" s="175"/>
      <c r="AC31" s="175"/>
      <c r="AD31" s="175"/>
      <c r="AE31" s="175"/>
      <c r="AF31" s="175"/>
      <c r="AG31" s="175"/>
      <c r="AH31" s="175"/>
      <c r="AI31" s="175"/>
      <c r="AJ31" s="175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5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12</v>
      </c>
      <c r="AF35" s="15" t="s">
        <v>31</v>
      </c>
      <c r="AG35" s="5"/>
      <c r="AH35" s="5"/>
    </row>
    <row r="36" spans="1:37" ht="21" x14ac:dyDescent="0.25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50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>
        <v>55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 t="s">
        <v>102</v>
      </c>
      <c r="B41" s="107">
        <v>35</v>
      </c>
      <c r="C41" s="108">
        <v>31</v>
      </c>
      <c r="D41" s="108">
        <v>4.9000000000000004</v>
      </c>
      <c r="E41" s="108">
        <v>0.65</v>
      </c>
      <c r="F41" s="108">
        <v>58.79</v>
      </c>
      <c r="G41" s="108">
        <v>4.4400000000000004</v>
      </c>
      <c r="H41" s="108">
        <v>0.22</v>
      </c>
      <c r="I41" s="108">
        <v>5.27</v>
      </c>
      <c r="J41" s="108">
        <v>0</v>
      </c>
      <c r="K41" s="108">
        <v>0.18</v>
      </c>
      <c r="L41" s="108">
        <v>0</v>
      </c>
      <c r="M41" s="4">
        <f t="shared" si="2"/>
        <v>100</v>
      </c>
      <c r="O41" s="54"/>
      <c r="AA41" s="60"/>
      <c r="AI41" s="62"/>
      <c r="AJ41" s="62"/>
    </row>
    <row r="42" spans="1:37" x14ac:dyDescent="0.2">
      <c r="A42" s="106" t="s">
        <v>103</v>
      </c>
      <c r="B42" s="107">
        <v>27</v>
      </c>
      <c r="C42" s="108">
        <f>皮!C87</f>
        <v>25</v>
      </c>
      <c r="D42" s="108">
        <f>皮!D87</f>
        <v>5.3</v>
      </c>
      <c r="E42" s="108">
        <f>皮!E87</f>
        <v>14.3</v>
      </c>
      <c r="F42" s="108">
        <f>皮!F87</f>
        <v>53.699999999999989</v>
      </c>
      <c r="G42" s="108">
        <f>皮!G87</f>
        <v>1.3</v>
      </c>
      <c r="H42" s="108">
        <f>皮!H87</f>
        <v>0.4</v>
      </c>
      <c r="I42" s="108">
        <f>皮!I87</f>
        <v>68.8</v>
      </c>
      <c r="J42" s="108">
        <f>皮!J87</f>
        <v>0.12467532467532468</v>
      </c>
      <c r="K42" s="108">
        <f>皮!K87</f>
        <v>5.1810389610389604</v>
      </c>
      <c r="L42" s="108">
        <f>皮!L87</f>
        <v>18.483116883116882</v>
      </c>
      <c r="M42" s="4">
        <f t="shared" si="2"/>
        <v>99.999999999999986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FNS ﾊﾞﾗ</v>
      </c>
      <c r="B53" s="143">
        <f>IF(B8="","",B8)</f>
        <v>80</v>
      </c>
      <c r="C53" s="57">
        <f>C8*B53/100</f>
        <v>11.52</v>
      </c>
      <c r="D53" s="57">
        <f>D8*B53/100</f>
        <v>9.2799999999999994</v>
      </c>
      <c r="E53" s="57">
        <f>E8*B53/100</f>
        <v>1.2</v>
      </c>
      <c r="F53" s="57">
        <f>F8*B53/100</f>
        <v>55.472000000000008</v>
      </c>
      <c r="G53" s="57">
        <f>G8*B53/100</f>
        <v>2.16</v>
      </c>
      <c r="H53" s="57">
        <f>H8*B53/100</f>
        <v>0.36800000000000005</v>
      </c>
      <c r="I53" s="58">
        <f>I8*B53/100</f>
        <v>0</v>
      </c>
      <c r="J53" s="58">
        <f>J8*B53/100</f>
        <v>0</v>
      </c>
      <c r="K53" s="58">
        <f>K8*B53/100</f>
        <v>0.28000000000000003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54" si="3">IF(A9="","",A9)</f>
        <v>ｱﾐｭﾘｱ</v>
      </c>
      <c r="B54" s="143">
        <f t="shared" si="3"/>
        <v>10</v>
      </c>
      <c r="C54" s="57">
        <f t="shared" ref="C54:C81" si="4">C9*B54/100</f>
        <v>1.44</v>
      </c>
      <c r="D54" s="57">
        <f t="shared" ref="D54:D82" si="5">D9*B54/100</f>
        <v>1.2</v>
      </c>
      <c r="E54" s="57">
        <f t="shared" ref="E54:E82" si="6">E9*B54/100</f>
        <v>0.2</v>
      </c>
      <c r="F54" s="57">
        <f t="shared" ref="F54:F82" si="7">F9*B54/100</f>
        <v>5.08</v>
      </c>
      <c r="G54" s="57">
        <f t="shared" ref="G54:G82" si="8">G9*B54/100</f>
        <v>2.0299999999999998</v>
      </c>
      <c r="H54" s="57">
        <f t="shared" ref="H54:H82" si="9">H9*B54/100</f>
        <v>0.05</v>
      </c>
      <c r="I54" s="58">
        <f t="shared" ref="I54:I82" si="10">I9*B54/100</f>
        <v>0.1</v>
      </c>
      <c r="J54" s="58">
        <f t="shared" ref="J54:J82" si="11">J9*B54/100</f>
        <v>0</v>
      </c>
      <c r="K54" s="58">
        <f t="shared" ref="K54:K82" si="12">K9*B54/100</f>
        <v>0.04</v>
      </c>
      <c r="L54" s="59">
        <f t="shared" ref="L54:L82" si="13">L9*B54/100</f>
        <v>0.1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ref="A55:B55" si="14">IF(A10="","",A10)</f>
        <v>FKT薄力粉</v>
      </c>
      <c r="B55" s="143">
        <f t="shared" si="14"/>
        <v>10</v>
      </c>
      <c r="C55" s="57">
        <f t="shared" si="4"/>
        <v>1.45</v>
      </c>
      <c r="D55" s="57">
        <f t="shared" si="5"/>
        <v>0.8</v>
      </c>
      <c r="E55" s="57">
        <f t="shared" si="6"/>
        <v>0.15</v>
      </c>
      <c r="F55" s="57">
        <f t="shared" si="7"/>
        <v>7.31</v>
      </c>
      <c r="G55" s="57">
        <f t="shared" si="8"/>
        <v>0.25</v>
      </c>
      <c r="H55" s="57">
        <f t="shared" si="9"/>
        <v>0.04</v>
      </c>
      <c r="I55" s="58">
        <f t="shared" si="10"/>
        <v>0</v>
      </c>
      <c r="J55" s="58">
        <f t="shared" si="11"/>
        <v>0</v>
      </c>
      <c r="K55" s="58">
        <f t="shared" si="12"/>
        <v>3.4000000000000002E-2</v>
      </c>
      <c r="L55" s="59">
        <f t="shared" si="13"/>
        <v>0</v>
      </c>
    </row>
    <row r="56" spans="1:31" x14ac:dyDescent="0.2">
      <c r="A56" s="106" t="str">
        <f t="shared" ref="A56:B56" si="15">IF(A11="","",A11)</f>
        <v>ｶﾈｶｲｰｽﾄEMOLH50</v>
      </c>
      <c r="B56" s="143">
        <f t="shared" si="15"/>
        <v>4</v>
      </c>
      <c r="C56" s="57">
        <f t="shared" si="4"/>
        <v>2.7239999999999998</v>
      </c>
      <c r="D56" s="57">
        <f t="shared" si="5"/>
        <v>0.66</v>
      </c>
      <c r="E56" s="57">
        <f t="shared" si="6"/>
        <v>0.06</v>
      </c>
      <c r="F56" s="57">
        <f t="shared" si="7"/>
        <v>7.2000000000000008E-2</v>
      </c>
      <c r="G56" s="57">
        <f t="shared" si="8"/>
        <v>0.41200000000000003</v>
      </c>
      <c r="H56" s="57">
        <f t="shared" si="9"/>
        <v>7.2000000000000008E-2</v>
      </c>
      <c r="I56" s="58">
        <f t="shared" si="10"/>
        <v>1.56</v>
      </c>
      <c r="J56" s="58">
        <f t="shared" si="11"/>
        <v>0</v>
      </c>
      <c r="K56" s="58">
        <f t="shared" si="12"/>
        <v>7.6E-3</v>
      </c>
      <c r="L56" s="59">
        <f t="shared" si="13"/>
        <v>0</v>
      </c>
    </row>
    <row r="57" spans="1:31" x14ac:dyDescent="0.2">
      <c r="A57" s="106" t="str">
        <f t="shared" ref="A57:B57" si="16">IF(A12="","",A12)</f>
        <v>CｱﾝﾃｨｰS#1</v>
      </c>
      <c r="B57" s="143">
        <f t="shared" si="16"/>
        <v>0.1</v>
      </c>
      <c r="C57" s="57">
        <f t="shared" si="4"/>
        <v>4.9000000000000007E-3</v>
      </c>
      <c r="D57" s="57">
        <f t="shared" si="5"/>
        <v>3.6000000000000003E-3</v>
      </c>
      <c r="E57" s="57">
        <f t="shared" si="6"/>
        <v>3.2000000000000006E-3</v>
      </c>
      <c r="F57" s="57">
        <f t="shared" si="7"/>
        <v>2.1700000000000001E-2</v>
      </c>
      <c r="G57" s="57">
        <f t="shared" si="8"/>
        <v>0</v>
      </c>
      <c r="H57" s="57">
        <f t="shared" si="9"/>
        <v>6.6600000000000006E-2</v>
      </c>
      <c r="I57" s="58">
        <f t="shared" si="10"/>
        <v>7.83</v>
      </c>
      <c r="J57" s="58">
        <f t="shared" si="11"/>
        <v>0</v>
      </c>
      <c r="K57" s="58">
        <f t="shared" si="12"/>
        <v>2.15E-3</v>
      </c>
      <c r="L57" s="59">
        <f t="shared" si="13"/>
        <v>2.1000000000000001E-4</v>
      </c>
    </row>
    <row r="58" spans="1:31" x14ac:dyDescent="0.2">
      <c r="A58" s="106" t="str">
        <f t="shared" ref="A58:B58" si="17">IF(A13="","",A13)</f>
        <v>製ﾊﾟﾝ食用塩20kg</v>
      </c>
      <c r="B58" s="143">
        <f t="shared" si="17"/>
        <v>1.8</v>
      </c>
      <c r="C58" s="57">
        <f t="shared" si="4"/>
        <v>1.8000000000000001E-4</v>
      </c>
      <c r="D58" s="57">
        <f t="shared" si="5"/>
        <v>0</v>
      </c>
      <c r="E58" s="57">
        <f t="shared" si="6"/>
        <v>0</v>
      </c>
      <c r="F58" s="57">
        <f t="shared" si="7"/>
        <v>0</v>
      </c>
      <c r="G58" s="57">
        <f t="shared" si="8"/>
        <v>0</v>
      </c>
      <c r="H58" s="57">
        <f t="shared" si="9"/>
        <v>1.79982</v>
      </c>
      <c r="I58" s="58">
        <f t="shared" si="10"/>
        <v>707.95800000000008</v>
      </c>
      <c r="J58" s="58">
        <f t="shared" si="11"/>
        <v>0</v>
      </c>
      <c r="K58" s="58">
        <f t="shared" si="12"/>
        <v>0</v>
      </c>
      <c r="L58" s="59">
        <f t="shared" si="13"/>
        <v>0</v>
      </c>
      <c r="AA58" s="91"/>
    </row>
    <row r="59" spans="1:31" x14ac:dyDescent="0.2">
      <c r="A59" s="106" t="str">
        <f t="shared" ref="A59:B59" si="18">IF(A14="","",A14)</f>
        <v>KH1 上白糖</v>
      </c>
      <c r="B59" s="143">
        <f t="shared" si="18"/>
        <v>18</v>
      </c>
      <c r="C59" s="57">
        <f t="shared" si="4"/>
        <v>0.126</v>
      </c>
      <c r="D59" s="57">
        <f t="shared" si="5"/>
        <v>0</v>
      </c>
      <c r="E59" s="57">
        <f t="shared" si="6"/>
        <v>0</v>
      </c>
      <c r="F59" s="57">
        <f t="shared" si="7"/>
        <v>17.873999999999999</v>
      </c>
      <c r="G59" s="57">
        <f t="shared" si="8"/>
        <v>0</v>
      </c>
      <c r="H59" s="57">
        <f t="shared" si="9"/>
        <v>0</v>
      </c>
      <c r="I59" s="58">
        <f t="shared" si="10"/>
        <v>0.18</v>
      </c>
      <c r="J59" s="58">
        <f t="shared" si="11"/>
        <v>0</v>
      </c>
      <c r="K59" s="58">
        <f t="shared" si="12"/>
        <v>0</v>
      </c>
      <c r="L59" s="59">
        <f t="shared" si="13"/>
        <v>0</v>
      </c>
      <c r="AA59" s="45"/>
    </row>
    <row r="60" spans="1:31" x14ac:dyDescent="0.2">
      <c r="A60" s="106" t="str">
        <f t="shared" ref="A60:B60" si="19">IF(A15="","",A15)</f>
        <v>ﾍﾞﾈﾌｨｰKB</v>
      </c>
      <c r="B60" s="143">
        <f t="shared" si="19"/>
        <v>3</v>
      </c>
      <c r="C60" s="57">
        <f t="shared" si="4"/>
        <v>1.212</v>
      </c>
      <c r="D60" s="57">
        <f t="shared" si="5"/>
        <v>0</v>
      </c>
      <c r="E60" s="57">
        <f t="shared" si="6"/>
        <v>0.85499999999999998</v>
      </c>
      <c r="F60" s="57">
        <f t="shared" si="7"/>
        <v>0.93300000000000016</v>
      </c>
      <c r="G60" s="57">
        <f t="shared" si="8"/>
        <v>0</v>
      </c>
      <c r="H60" s="57">
        <f t="shared" si="9"/>
        <v>0</v>
      </c>
      <c r="I60" s="58">
        <f t="shared" si="10"/>
        <v>0.12</v>
      </c>
      <c r="J60" s="58">
        <f t="shared" si="11"/>
        <v>3.0000000000000005E-3</v>
      </c>
      <c r="K60" s="58">
        <f t="shared" si="12"/>
        <v>0.38250000000000001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ref="A61:B61" si="20">IF(A16="","",A16)</f>
        <v>ｶﾈｶﾏｰｶﾞﾘﾝSD</v>
      </c>
      <c r="B61" s="143">
        <f t="shared" si="20"/>
        <v>7</v>
      </c>
      <c r="C61" s="57">
        <f t="shared" si="4"/>
        <v>1.155</v>
      </c>
      <c r="D61" s="57">
        <f t="shared" si="5"/>
        <v>0</v>
      </c>
      <c r="E61" s="57">
        <f t="shared" si="6"/>
        <v>5.8239999999999998</v>
      </c>
      <c r="F61" s="57">
        <f t="shared" si="7"/>
        <v>0</v>
      </c>
      <c r="G61" s="57">
        <f t="shared" si="8"/>
        <v>0</v>
      </c>
      <c r="H61" s="57">
        <f t="shared" si="9"/>
        <v>2.1000000000000001E-2</v>
      </c>
      <c r="I61" s="58">
        <f t="shared" si="10"/>
        <v>8.26</v>
      </c>
      <c r="J61" s="58">
        <f t="shared" si="11"/>
        <v>5.6000000000000008E-2</v>
      </c>
      <c r="K61" s="58">
        <f t="shared" si="12"/>
        <v>2.177</v>
      </c>
      <c r="L61" s="59">
        <f t="shared" si="13"/>
        <v>7.0000000000000007E-2</v>
      </c>
      <c r="AA61" s="124" t="s">
        <v>53</v>
      </c>
    </row>
    <row r="62" spans="1:31" x14ac:dyDescent="0.2">
      <c r="A62" s="106" t="str">
        <f t="shared" ref="A62:B62" si="21">IF(A17="","",A17)</f>
        <v>LuteOn B ﾌﾟﾙﾐｴｿﾌﾄ</v>
      </c>
      <c r="B62" s="143">
        <f t="shared" si="21"/>
        <v>1</v>
      </c>
      <c r="C62" s="57">
        <f t="shared" si="4"/>
        <v>0.26300000000000001</v>
      </c>
      <c r="D62" s="57">
        <f t="shared" si="5"/>
        <v>1E-3</v>
      </c>
      <c r="E62" s="57">
        <f t="shared" si="6"/>
        <v>0.127</v>
      </c>
      <c r="F62" s="57">
        <f t="shared" si="7"/>
        <v>0.60899999999999999</v>
      </c>
      <c r="G62" s="57">
        <f t="shared" si="8"/>
        <v>0</v>
      </c>
      <c r="H62" s="57">
        <f t="shared" si="9"/>
        <v>0</v>
      </c>
      <c r="I62" s="58">
        <f t="shared" si="10"/>
        <v>0.25</v>
      </c>
      <c r="J62" s="58">
        <f t="shared" si="11"/>
        <v>2.9999999999999997E-4</v>
      </c>
      <c r="K62" s="58">
        <f t="shared" si="12"/>
        <v>6.6900000000000001E-2</v>
      </c>
      <c r="L62" s="59">
        <f t="shared" si="13"/>
        <v>0.02</v>
      </c>
      <c r="AA62" s="95" t="s">
        <v>54</v>
      </c>
    </row>
    <row r="63" spans="1:31" x14ac:dyDescent="0.2">
      <c r="A63" s="106" t="str">
        <f t="shared" ref="A63:B63" si="22">IF(A18="","",A18)</f>
        <v>ﾐﾙｯｸ700C</v>
      </c>
      <c r="B63" s="143">
        <f t="shared" si="22"/>
        <v>2</v>
      </c>
      <c r="C63" s="57">
        <f t="shared" si="4"/>
        <v>0.10800000000000001</v>
      </c>
      <c r="D63" s="57">
        <f t="shared" si="5"/>
        <v>0.28199999999999997</v>
      </c>
      <c r="E63" s="57">
        <f t="shared" si="6"/>
        <v>2.7999999999999997E-2</v>
      </c>
      <c r="F63" s="57">
        <f t="shared" si="7"/>
        <v>1.524</v>
      </c>
      <c r="G63" s="57">
        <f t="shared" si="8"/>
        <v>1.8000000000000002E-2</v>
      </c>
      <c r="H63" s="57">
        <f t="shared" si="9"/>
        <v>0.04</v>
      </c>
      <c r="I63" s="58">
        <f t="shared" si="10"/>
        <v>2.48</v>
      </c>
      <c r="J63" s="58">
        <f t="shared" si="11"/>
        <v>0</v>
      </c>
      <c r="K63" s="58">
        <f t="shared" si="12"/>
        <v>8.0000000000000002E-3</v>
      </c>
      <c r="L63" s="59">
        <f t="shared" si="13"/>
        <v>0</v>
      </c>
    </row>
    <row r="64" spans="1:31" x14ac:dyDescent="0.2">
      <c r="A64" s="106" t="str">
        <f t="shared" ref="A64:B64" si="23">IF(A19="","",A19)</f>
        <v>加工液全卵(殺菌)</v>
      </c>
      <c r="B64" s="143">
        <f t="shared" si="23"/>
        <v>8</v>
      </c>
      <c r="C64" s="57">
        <f t="shared" si="4"/>
        <v>6.6479999999999997</v>
      </c>
      <c r="D64" s="57">
        <f t="shared" si="5"/>
        <v>0.76800000000000002</v>
      </c>
      <c r="E64" s="57">
        <f t="shared" si="6"/>
        <v>0.43200000000000005</v>
      </c>
      <c r="F64" s="57">
        <f t="shared" si="7"/>
        <v>3.2000000000000001E-2</v>
      </c>
      <c r="G64" s="57">
        <f t="shared" si="8"/>
        <v>0</v>
      </c>
      <c r="H64" s="57">
        <f t="shared" si="9"/>
        <v>5.5999999999999994E-2</v>
      </c>
      <c r="I64" s="58">
        <f t="shared" si="10"/>
        <v>10.4</v>
      </c>
      <c r="J64" s="58">
        <f t="shared" si="11"/>
        <v>0</v>
      </c>
      <c r="K64" s="58">
        <f t="shared" si="12"/>
        <v>0.13200000000000001</v>
      </c>
      <c r="L64" s="59">
        <f t="shared" si="13"/>
        <v>15.68</v>
      </c>
    </row>
    <row r="65" spans="1:27" x14ac:dyDescent="0.2">
      <c r="A65" s="106" t="str">
        <f t="shared" ref="A65:B65" si="24">IF(A20="","",A20)</f>
        <v>ﾌｫｰｶｽC(1L)</v>
      </c>
      <c r="B65" s="143">
        <f t="shared" si="24"/>
        <v>0.4</v>
      </c>
      <c r="C65" s="57">
        <f t="shared" si="4"/>
        <v>0.28360000000000002</v>
      </c>
      <c r="D65" s="57">
        <f t="shared" si="5"/>
        <v>3.6799999999999999E-2</v>
      </c>
      <c r="E65" s="57">
        <f t="shared" si="6"/>
        <v>1.4000000000000002E-2</v>
      </c>
      <c r="F65" s="57">
        <f t="shared" si="7"/>
        <v>5.7200000000000008E-2</v>
      </c>
      <c r="G65" s="57">
        <f t="shared" si="8"/>
        <v>0</v>
      </c>
      <c r="H65" s="57">
        <f t="shared" si="9"/>
        <v>8.4000000000000012E-3</v>
      </c>
      <c r="I65" s="58">
        <f t="shared" si="10"/>
        <v>0.49200000000000005</v>
      </c>
      <c r="J65" s="58">
        <f t="shared" si="11"/>
        <v>6.4000000000000005E-4</v>
      </c>
      <c r="K65" s="58">
        <f t="shared" si="12"/>
        <v>9.1999999999999998E-3</v>
      </c>
      <c r="L65" s="59">
        <f t="shared" si="13"/>
        <v>0.124</v>
      </c>
    </row>
    <row r="66" spans="1:27" x14ac:dyDescent="0.2">
      <c r="A66" s="106" t="str">
        <f t="shared" ref="A66:B66" si="25">IF(A21="","",A21)</f>
        <v>ﾚｷﾞｭﾗｰｸﾞﾙﾃﾝA</v>
      </c>
      <c r="B66" s="143">
        <f t="shared" si="25"/>
        <v>1</v>
      </c>
      <c r="C66" s="57">
        <f t="shared" si="4"/>
        <v>6.0999999999999999E-2</v>
      </c>
      <c r="D66" s="57">
        <f t="shared" si="5"/>
        <v>0.72499999999999998</v>
      </c>
      <c r="E66" s="57">
        <f t="shared" si="6"/>
        <v>5.2999999999999999E-2</v>
      </c>
      <c r="F66" s="57">
        <f t="shared" si="7"/>
        <v>0.13500000000000001</v>
      </c>
      <c r="G66" s="57">
        <f t="shared" si="8"/>
        <v>1.7000000000000001E-2</v>
      </c>
      <c r="H66" s="57">
        <f t="shared" si="9"/>
        <v>9.0000000000000011E-3</v>
      </c>
      <c r="I66" s="58">
        <f t="shared" si="10"/>
        <v>1.05</v>
      </c>
      <c r="J66" s="58">
        <f t="shared" si="11"/>
        <v>1E-3</v>
      </c>
      <c r="K66" s="58">
        <f t="shared" si="12"/>
        <v>0.01</v>
      </c>
      <c r="L66" s="59">
        <f t="shared" si="13"/>
        <v>0</v>
      </c>
    </row>
    <row r="67" spans="1:27" x14ac:dyDescent="0.2">
      <c r="A67" s="106" t="str">
        <f t="shared" ref="A67:B67" si="26">IF(A22="","",A22)</f>
        <v>ﾌﾞﾚｯﾄﾞﾗｲﾌAP-200</v>
      </c>
      <c r="B67" s="143">
        <f t="shared" si="26"/>
        <v>0.2</v>
      </c>
      <c r="C67" s="57">
        <f t="shared" si="4"/>
        <v>1.9199999999999998E-2</v>
      </c>
      <c r="D67" s="57">
        <f t="shared" si="5"/>
        <v>6.4600000000000005E-2</v>
      </c>
      <c r="E67" s="57">
        <f t="shared" si="6"/>
        <v>1.1999999999999999E-3</v>
      </c>
      <c r="F67" s="57">
        <f t="shared" si="7"/>
        <v>0.11</v>
      </c>
      <c r="G67" s="57">
        <f t="shared" si="8"/>
        <v>3.6000000000000003E-3</v>
      </c>
      <c r="H67" s="57">
        <f t="shared" si="9"/>
        <v>1.3999999999999998E-3</v>
      </c>
      <c r="I67" s="58">
        <f t="shared" si="10"/>
        <v>0.26</v>
      </c>
      <c r="J67" s="58">
        <f t="shared" si="11"/>
        <v>0</v>
      </c>
      <c r="K67" s="58">
        <f t="shared" si="12"/>
        <v>1E-3</v>
      </c>
      <c r="L67" s="59">
        <f t="shared" si="13"/>
        <v>0</v>
      </c>
    </row>
    <row r="68" spans="1:27" x14ac:dyDescent="0.2">
      <c r="A68" s="106" t="str">
        <f t="shared" ref="A68:B68" si="27">IF(A23="","",A23)</f>
        <v>ﾊｲﾄﾗｲ700</v>
      </c>
      <c r="B68" s="143">
        <f t="shared" si="27"/>
        <v>0.4</v>
      </c>
      <c r="C68" s="57">
        <f t="shared" si="4"/>
        <v>1.5200000000000003E-3</v>
      </c>
      <c r="D68" s="57">
        <f t="shared" si="5"/>
        <v>1.2E-4</v>
      </c>
      <c r="E68" s="57">
        <f t="shared" si="6"/>
        <v>2.5999999999999999E-3</v>
      </c>
      <c r="F68" s="57">
        <f t="shared" si="7"/>
        <v>0.21496000000000001</v>
      </c>
      <c r="G68" s="57">
        <f t="shared" si="8"/>
        <v>0</v>
      </c>
      <c r="H68" s="57">
        <f t="shared" si="9"/>
        <v>0.18080000000000002</v>
      </c>
      <c r="I68" s="58">
        <f t="shared" si="10"/>
        <v>78.400000000000006</v>
      </c>
      <c r="J68" s="58">
        <f t="shared" si="11"/>
        <v>0</v>
      </c>
      <c r="K68" s="58">
        <f t="shared" si="12"/>
        <v>2E-3</v>
      </c>
      <c r="L68" s="59">
        <f t="shared" si="13"/>
        <v>0</v>
      </c>
    </row>
    <row r="69" spans="1:27" ht="18" x14ac:dyDescent="0.35">
      <c r="A69" s="106" t="str">
        <f t="shared" ref="A69:B69" si="28">IF(A24="","",A24)</f>
        <v/>
      </c>
      <c r="B69" s="143" t="str">
        <f t="shared" si="28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70" si="29">IF(A25="","",A25)</f>
        <v/>
      </c>
      <c r="B70" s="143" t="str">
        <f t="shared" si="29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ref="A71:B71" si="30">IF(A26="","",A26)</f>
        <v/>
      </c>
      <c r="B71" s="143" t="str">
        <f t="shared" si="30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ref="A72:B72" si="31">IF(A27="","",A27)</f>
        <v/>
      </c>
      <c r="B72" s="143" t="str">
        <f t="shared" si="31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AA72" s="97" t="s">
        <v>56</v>
      </c>
    </row>
    <row r="73" spans="1:27" x14ac:dyDescent="0.2">
      <c r="A73" s="106" t="str">
        <f t="shared" ref="A73:B73" si="32">IF(A28="","",A28)</f>
        <v/>
      </c>
      <c r="B73" s="143" t="str">
        <f t="shared" si="32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ref="A74:B74" si="33">IF(A29="","",A29)</f>
        <v/>
      </c>
      <c r="B74" s="143" t="str">
        <f t="shared" si="33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ref="A75:B75" si="34">IF(A30="","",A30)</f>
        <v/>
      </c>
      <c r="B75" s="143" t="str">
        <f t="shared" si="3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ref="A76:B76" si="35">IF(A31="","",A31)</f>
        <v/>
      </c>
      <c r="B76" s="143" t="str">
        <f t="shared" si="35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ref="A77:B77" si="36">IF(A32="","",A32)</f>
        <v/>
      </c>
      <c r="B77" s="143" t="str">
        <f t="shared" si="36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ref="A78:B78" si="37">IF(A33="","",A33)</f>
        <v/>
      </c>
      <c r="B78" s="143" t="str">
        <f t="shared" si="37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ref="A79:B79" si="38">IF(A34="","",A34)</f>
        <v/>
      </c>
      <c r="B79" s="143" t="str">
        <f t="shared" si="38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ref="A80:B80" si="39">IF(A35="","",A35)</f>
        <v/>
      </c>
      <c r="B80" s="143" t="str">
        <f t="shared" si="39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ref="A81:B81" si="40">IF(A36="","",A36)</f>
        <v/>
      </c>
      <c r="B81" s="143" t="str">
        <f t="shared" si="40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ref="A82" si="41">IF(A37="","",A37)</f>
        <v>仕込水（※ラボ吸水）</v>
      </c>
      <c r="B82" s="143">
        <f>IF(B37="","",B37)</f>
        <v>50</v>
      </c>
      <c r="C82" s="57">
        <f>C37*B82/100</f>
        <v>50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42">SUM(B53:B82)</f>
        <v>196.89999999999998</v>
      </c>
      <c r="C83" s="57">
        <f t="shared" si="42"/>
        <v>77.016400000000004</v>
      </c>
      <c r="D83" s="57">
        <f t="shared" si="42"/>
        <v>13.821120000000001</v>
      </c>
      <c r="E83" s="57">
        <f t="shared" si="42"/>
        <v>8.9500000000000011</v>
      </c>
      <c r="F83" s="57">
        <f t="shared" si="42"/>
        <v>89.444860000000006</v>
      </c>
      <c r="G83" s="57">
        <f t="shared" si="42"/>
        <v>4.8905999999999992</v>
      </c>
      <c r="H83" s="57">
        <f t="shared" si="42"/>
        <v>2.7130199999999998</v>
      </c>
      <c r="I83" s="58">
        <f t="shared" si="42"/>
        <v>819.33999999999992</v>
      </c>
      <c r="J83" s="58">
        <f t="shared" si="42"/>
        <v>6.0940000000000015E-2</v>
      </c>
      <c r="K83" s="58">
        <f t="shared" si="42"/>
        <v>3.1523499999999993</v>
      </c>
      <c r="L83" s="58">
        <f t="shared" si="42"/>
        <v>15.994210000000001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196.89999999999998</v>
      </c>
      <c r="C85" s="57">
        <f>C83-B83*B84/100</f>
        <v>77.016400000000004</v>
      </c>
      <c r="D85" s="57">
        <f t="shared" ref="D85:L85" si="43">SUM(D53:D82)</f>
        <v>13.821120000000001</v>
      </c>
      <c r="E85" s="57">
        <f t="shared" si="43"/>
        <v>8.9500000000000011</v>
      </c>
      <c r="F85" s="57">
        <f t="shared" si="43"/>
        <v>89.444860000000006</v>
      </c>
      <c r="G85" s="57">
        <f t="shared" si="43"/>
        <v>4.8905999999999992</v>
      </c>
      <c r="H85" s="57">
        <f t="shared" si="43"/>
        <v>2.7130199999999998</v>
      </c>
      <c r="I85" s="58">
        <f t="shared" si="43"/>
        <v>819.33999999999992</v>
      </c>
      <c r="J85" s="58">
        <f t="shared" si="43"/>
        <v>6.0940000000000015E-2</v>
      </c>
      <c r="K85" s="58">
        <f t="shared" si="43"/>
        <v>3.1523499999999993</v>
      </c>
      <c r="L85" s="59">
        <f t="shared" si="43"/>
        <v>15.994210000000001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39.1</v>
      </c>
      <c r="D86" s="67">
        <f>ROUND(+D85/B85*100,1)</f>
        <v>7</v>
      </c>
      <c r="E86" s="67">
        <f>ROUND(+E85/B85*100,1)</f>
        <v>4.5</v>
      </c>
      <c r="F86" s="67">
        <f>ROUND(+F85/B85*100,1)</f>
        <v>45.4</v>
      </c>
      <c r="G86" s="67">
        <f>ROUND(+G85/B85*100,1)</f>
        <v>2.5</v>
      </c>
      <c r="H86" s="67">
        <f>ROUND(+H85/B85*100,1)</f>
        <v>1.4</v>
      </c>
      <c r="I86" s="68">
        <f>ROUND(+I85/B85*100,1)</f>
        <v>416.1</v>
      </c>
      <c r="J86" s="58">
        <f>(+J85/B85*100)</f>
        <v>3.0949720670391073E-2</v>
      </c>
      <c r="K86" s="58">
        <f>(+K85/B85*100)</f>
        <v>1.6009903504316909</v>
      </c>
      <c r="L86" s="59">
        <f>(+L85/B85*100)</f>
        <v>8.1230116810563739</v>
      </c>
    </row>
    <row r="87" spans="1:12" x14ac:dyDescent="0.2">
      <c r="A87" s="9" t="s">
        <v>38</v>
      </c>
      <c r="B87" s="67">
        <f>SUM(C87:H87)</f>
        <v>99.9</v>
      </c>
      <c r="C87" s="161">
        <v>39.1</v>
      </c>
      <c r="D87" s="161">
        <v>7</v>
      </c>
      <c r="E87" s="161">
        <v>4.5</v>
      </c>
      <c r="F87" s="67">
        <f>ROUND(+F86/B86*100,1)</f>
        <v>45.4</v>
      </c>
      <c r="G87" s="161">
        <v>2.5</v>
      </c>
      <c r="H87" s="161">
        <v>1.4</v>
      </c>
      <c r="I87" s="161">
        <v>416.1</v>
      </c>
      <c r="J87" s="162">
        <v>3.0949720670391073E-2</v>
      </c>
      <c r="K87" s="162">
        <v>1.6009903504316909</v>
      </c>
      <c r="L87" s="161">
        <v>8.1230116810563739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55</v>
      </c>
      <c r="C90" s="57">
        <f>C87/100*B90</f>
        <v>21.505000000000003</v>
      </c>
      <c r="D90" s="57">
        <f>D87/100*B90</f>
        <v>3.8500000000000005</v>
      </c>
      <c r="E90" s="57">
        <f>E87/100*B90</f>
        <v>2.4750000000000001</v>
      </c>
      <c r="F90" s="57">
        <f>F87/100*B90</f>
        <v>24.97</v>
      </c>
      <c r="G90" s="57">
        <f>G87/100*B90</f>
        <v>1.375</v>
      </c>
      <c r="H90" s="57">
        <f>H87/100*B90</f>
        <v>0.76999999999999991</v>
      </c>
      <c r="I90" s="58">
        <f>I87/100*B90</f>
        <v>228.85500000000002</v>
      </c>
      <c r="J90" s="65">
        <f>J87/100*B90</f>
        <v>1.702234636871509E-2</v>
      </c>
      <c r="K90" s="65">
        <f>K87/100*B90</f>
        <v>0.88054469273743008</v>
      </c>
      <c r="L90" s="66">
        <f>L87/100*B90</f>
        <v>4.4676564245810058</v>
      </c>
    </row>
    <row r="91" spans="1:12" x14ac:dyDescent="0.2">
      <c r="A91" s="106" t="str">
        <f>IF(A41="","",A41)</f>
        <v>安納芋あん</v>
      </c>
      <c r="B91" s="143">
        <f>IF(B41="","",B41)</f>
        <v>35</v>
      </c>
      <c r="C91" s="57">
        <f t="shared" ref="C91:C99" si="44">C41/100*B91</f>
        <v>10.85</v>
      </c>
      <c r="D91" s="57">
        <f t="shared" ref="D91:D99" si="45">D41/100*B91</f>
        <v>1.7150000000000001</v>
      </c>
      <c r="E91" s="57">
        <f t="shared" ref="E91:E99" si="46">E41/100*B91</f>
        <v>0.22750000000000001</v>
      </c>
      <c r="F91" s="57">
        <f t="shared" ref="F91:F99" si="47">F41/100*B91</f>
        <v>20.576499999999999</v>
      </c>
      <c r="G91" s="57">
        <f t="shared" ref="G91:G99" si="48">G41/100*B91</f>
        <v>1.554</v>
      </c>
      <c r="H91" s="57">
        <f t="shared" ref="H91:H99" si="49">H41/100*B91</f>
        <v>7.6999999999999999E-2</v>
      </c>
      <c r="I91" s="58">
        <f t="shared" ref="I91:I99" si="50">I41/100*B91</f>
        <v>1.8444999999999998</v>
      </c>
      <c r="J91" s="65">
        <f t="shared" ref="J91:J99" si="51">J41/100*B91</f>
        <v>0</v>
      </c>
      <c r="K91" s="65">
        <f t="shared" ref="K91:K99" si="52">K41/100*B91</f>
        <v>6.3E-2</v>
      </c>
      <c r="L91" s="65">
        <f t="shared" ref="L91:L99" si="53">L41/100*B91</f>
        <v>0</v>
      </c>
    </row>
    <row r="92" spans="1:12" x14ac:dyDescent="0.2">
      <c r="A92" s="106" t="str">
        <f t="shared" ref="A92:B92" si="54">IF(A42="","",A42)</f>
        <v>皮生地</v>
      </c>
      <c r="B92" s="143">
        <f t="shared" si="54"/>
        <v>27</v>
      </c>
      <c r="C92" s="57">
        <f t="shared" si="44"/>
        <v>6.75</v>
      </c>
      <c r="D92" s="57">
        <f t="shared" si="45"/>
        <v>1.431</v>
      </c>
      <c r="E92" s="57">
        <f t="shared" si="46"/>
        <v>3.8610000000000007</v>
      </c>
      <c r="F92" s="57">
        <f t="shared" si="47"/>
        <v>14.498999999999999</v>
      </c>
      <c r="G92" s="57">
        <f t="shared" si="48"/>
        <v>0.35100000000000003</v>
      </c>
      <c r="H92" s="57">
        <f t="shared" si="49"/>
        <v>0.108</v>
      </c>
      <c r="I92" s="58">
        <f t="shared" si="50"/>
        <v>18.575999999999997</v>
      </c>
      <c r="J92" s="65">
        <f t="shared" si="51"/>
        <v>3.3662337662337664E-2</v>
      </c>
      <c r="K92" s="65">
        <f t="shared" si="52"/>
        <v>1.3988805194805194</v>
      </c>
      <c r="L92" s="65">
        <f t="shared" si="53"/>
        <v>4.9904415584415585</v>
      </c>
    </row>
    <row r="93" spans="1:12" x14ac:dyDescent="0.2">
      <c r="A93" s="106" t="str">
        <f t="shared" ref="A93:B93" si="55">IF(A43="","",A43)</f>
        <v/>
      </c>
      <c r="B93" s="143" t="str">
        <f t="shared" si="55"/>
        <v/>
      </c>
      <c r="C93" s="57">
        <f t="shared" si="44"/>
        <v>0</v>
      </c>
      <c r="D93" s="57">
        <f t="shared" si="45"/>
        <v>0</v>
      </c>
      <c r="E93" s="57">
        <f t="shared" si="46"/>
        <v>0</v>
      </c>
      <c r="F93" s="57">
        <f t="shared" si="47"/>
        <v>0</v>
      </c>
      <c r="G93" s="57">
        <f t="shared" si="48"/>
        <v>0</v>
      </c>
      <c r="H93" s="57">
        <f t="shared" si="49"/>
        <v>0</v>
      </c>
      <c r="I93" s="58">
        <f t="shared" si="50"/>
        <v>0</v>
      </c>
      <c r="J93" s="65">
        <f t="shared" si="51"/>
        <v>0</v>
      </c>
      <c r="K93" s="65">
        <f t="shared" si="52"/>
        <v>0</v>
      </c>
      <c r="L93" s="65">
        <f t="shared" si="53"/>
        <v>0</v>
      </c>
    </row>
    <row r="94" spans="1:12" x14ac:dyDescent="0.2">
      <c r="A94" s="106" t="str">
        <f t="shared" ref="A94:B94" si="56">IF(A44="","",A44)</f>
        <v/>
      </c>
      <c r="B94" s="143" t="str">
        <f t="shared" si="56"/>
        <v/>
      </c>
      <c r="C94" s="57">
        <f t="shared" si="44"/>
        <v>0</v>
      </c>
      <c r="D94" s="57">
        <f t="shared" si="45"/>
        <v>0</v>
      </c>
      <c r="E94" s="57">
        <f t="shared" si="46"/>
        <v>0</v>
      </c>
      <c r="F94" s="57">
        <f t="shared" si="47"/>
        <v>0</v>
      </c>
      <c r="G94" s="57">
        <f t="shared" si="48"/>
        <v>0</v>
      </c>
      <c r="H94" s="57">
        <f t="shared" si="49"/>
        <v>0</v>
      </c>
      <c r="I94" s="58">
        <f t="shared" si="50"/>
        <v>0</v>
      </c>
      <c r="J94" s="65">
        <f t="shared" si="51"/>
        <v>0</v>
      </c>
      <c r="K94" s="65">
        <f t="shared" si="52"/>
        <v>0</v>
      </c>
      <c r="L94" s="65">
        <f t="shared" si="53"/>
        <v>0</v>
      </c>
    </row>
    <row r="95" spans="1:12" x14ac:dyDescent="0.2">
      <c r="A95" s="106" t="str">
        <f t="shared" ref="A95:B95" si="57">IF(A45="","",A45)</f>
        <v/>
      </c>
      <c r="B95" s="143" t="str">
        <f t="shared" si="57"/>
        <v/>
      </c>
      <c r="C95" s="57">
        <f t="shared" si="44"/>
        <v>0</v>
      </c>
      <c r="D95" s="57">
        <f t="shared" si="45"/>
        <v>0</v>
      </c>
      <c r="E95" s="57">
        <f t="shared" si="46"/>
        <v>0</v>
      </c>
      <c r="F95" s="57">
        <f t="shared" si="47"/>
        <v>0</v>
      </c>
      <c r="G95" s="57">
        <f t="shared" si="48"/>
        <v>0</v>
      </c>
      <c r="H95" s="57">
        <f t="shared" si="49"/>
        <v>0</v>
      </c>
      <c r="I95" s="58">
        <f t="shared" si="50"/>
        <v>0</v>
      </c>
      <c r="J95" s="65">
        <f t="shared" si="51"/>
        <v>0</v>
      </c>
      <c r="K95" s="65">
        <f t="shared" si="52"/>
        <v>0</v>
      </c>
      <c r="L95" s="65">
        <f t="shared" si="53"/>
        <v>0</v>
      </c>
    </row>
    <row r="96" spans="1:12" x14ac:dyDescent="0.2">
      <c r="A96" s="106" t="str">
        <f t="shared" ref="A96:B96" si="58">IF(A46="","",A46)</f>
        <v/>
      </c>
      <c r="B96" s="143" t="str">
        <f t="shared" si="58"/>
        <v/>
      </c>
      <c r="C96" s="57">
        <f t="shared" si="44"/>
        <v>0</v>
      </c>
      <c r="D96" s="57">
        <f t="shared" si="45"/>
        <v>0</v>
      </c>
      <c r="E96" s="57">
        <f t="shared" si="46"/>
        <v>0</v>
      </c>
      <c r="F96" s="57">
        <f t="shared" si="47"/>
        <v>0</v>
      </c>
      <c r="G96" s="57">
        <f t="shared" si="48"/>
        <v>0</v>
      </c>
      <c r="H96" s="57">
        <f t="shared" si="49"/>
        <v>0</v>
      </c>
      <c r="I96" s="58">
        <f t="shared" si="50"/>
        <v>0</v>
      </c>
      <c r="J96" s="65">
        <f t="shared" si="51"/>
        <v>0</v>
      </c>
      <c r="K96" s="65">
        <f t="shared" si="52"/>
        <v>0</v>
      </c>
      <c r="L96" s="65">
        <f t="shared" si="53"/>
        <v>0</v>
      </c>
    </row>
    <row r="97" spans="1:12" x14ac:dyDescent="0.2">
      <c r="A97" s="106" t="str">
        <f t="shared" ref="A97:B97" si="59">IF(A47="","",A47)</f>
        <v/>
      </c>
      <c r="B97" s="143" t="str">
        <f t="shared" si="59"/>
        <v/>
      </c>
      <c r="C97" s="57">
        <f t="shared" si="44"/>
        <v>0</v>
      </c>
      <c r="D97" s="57">
        <f t="shared" si="45"/>
        <v>0</v>
      </c>
      <c r="E97" s="57">
        <f t="shared" si="46"/>
        <v>0</v>
      </c>
      <c r="F97" s="57">
        <f t="shared" si="47"/>
        <v>0</v>
      </c>
      <c r="G97" s="57">
        <f t="shared" si="48"/>
        <v>0</v>
      </c>
      <c r="H97" s="57">
        <f t="shared" si="49"/>
        <v>0</v>
      </c>
      <c r="I97" s="58">
        <f t="shared" si="50"/>
        <v>0</v>
      </c>
      <c r="J97" s="65">
        <f t="shared" si="51"/>
        <v>0</v>
      </c>
      <c r="K97" s="65">
        <f t="shared" si="52"/>
        <v>0</v>
      </c>
      <c r="L97" s="65">
        <f t="shared" si="53"/>
        <v>0</v>
      </c>
    </row>
    <row r="98" spans="1:12" x14ac:dyDescent="0.2">
      <c r="A98" s="106" t="str">
        <f t="shared" ref="A98:B98" si="60">IF(A48="","",A48)</f>
        <v/>
      </c>
      <c r="B98" s="143" t="str">
        <f t="shared" si="60"/>
        <v/>
      </c>
      <c r="C98" s="57">
        <f t="shared" si="44"/>
        <v>0</v>
      </c>
      <c r="D98" s="57">
        <f t="shared" si="45"/>
        <v>0</v>
      </c>
      <c r="E98" s="57">
        <f t="shared" si="46"/>
        <v>0</v>
      </c>
      <c r="F98" s="57">
        <f t="shared" si="47"/>
        <v>0</v>
      </c>
      <c r="G98" s="57">
        <f t="shared" si="48"/>
        <v>0</v>
      </c>
      <c r="H98" s="57">
        <f t="shared" si="49"/>
        <v>0</v>
      </c>
      <c r="I98" s="58">
        <f t="shared" si="50"/>
        <v>0</v>
      </c>
      <c r="J98" s="65">
        <f t="shared" si="51"/>
        <v>0</v>
      </c>
      <c r="K98" s="65">
        <f t="shared" si="52"/>
        <v>0</v>
      </c>
      <c r="L98" s="65">
        <f t="shared" si="53"/>
        <v>0</v>
      </c>
    </row>
    <row r="99" spans="1:12" x14ac:dyDescent="0.2">
      <c r="A99" s="106" t="str">
        <f t="shared" ref="A99:B99" si="61">IF(A49="","",A49)</f>
        <v/>
      </c>
      <c r="B99" s="143" t="str">
        <f t="shared" si="61"/>
        <v/>
      </c>
      <c r="C99" s="57">
        <f t="shared" si="44"/>
        <v>0</v>
      </c>
      <c r="D99" s="57">
        <f t="shared" si="45"/>
        <v>0</v>
      </c>
      <c r="E99" s="57">
        <f t="shared" si="46"/>
        <v>0</v>
      </c>
      <c r="F99" s="57">
        <f t="shared" si="47"/>
        <v>0</v>
      </c>
      <c r="G99" s="57">
        <f t="shared" si="48"/>
        <v>0</v>
      </c>
      <c r="H99" s="57">
        <f t="shared" si="49"/>
        <v>0</v>
      </c>
      <c r="I99" s="58">
        <f t="shared" si="50"/>
        <v>0</v>
      </c>
      <c r="J99" s="65">
        <f t="shared" si="51"/>
        <v>0</v>
      </c>
      <c r="K99" s="65">
        <f t="shared" si="52"/>
        <v>0</v>
      </c>
      <c r="L99" s="65">
        <f t="shared" si="53"/>
        <v>0</v>
      </c>
    </row>
    <row r="100" spans="1:12" x14ac:dyDescent="0.2">
      <c r="A100" s="9" t="s">
        <v>34</v>
      </c>
      <c r="B100" s="63">
        <f t="shared" ref="B100:L100" si="62">SUM(B90:B99)</f>
        <v>117</v>
      </c>
      <c r="C100" s="57">
        <f>SUM(C90:C99)</f>
        <v>39.105000000000004</v>
      </c>
      <c r="D100" s="57">
        <f t="shared" si="62"/>
        <v>6.9960000000000004</v>
      </c>
      <c r="E100" s="57">
        <f t="shared" si="62"/>
        <v>6.5635000000000012</v>
      </c>
      <c r="F100" s="57">
        <f t="shared" si="62"/>
        <v>60.04549999999999</v>
      </c>
      <c r="G100" s="57">
        <f t="shared" si="62"/>
        <v>3.2800000000000002</v>
      </c>
      <c r="H100" s="57">
        <f t="shared" si="62"/>
        <v>0.95499999999999985</v>
      </c>
      <c r="I100" s="58">
        <f t="shared" si="62"/>
        <v>249.27550000000002</v>
      </c>
      <c r="J100" s="58">
        <f t="shared" si="62"/>
        <v>5.0684684031052751E-2</v>
      </c>
      <c r="K100" s="58">
        <f t="shared" si="62"/>
        <v>2.3424252122179494</v>
      </c>
      <c r="L100" s="58">
        <f t="shared" si="62"/>
        <v>9.4580979830225651</v>
      </c>
    </row>
    <row r="101" spans="1:12" x14ac:dyDescent="0.2">
      <c r="A101" s="9" t="s">
        <v>35</v>
      </c>
      <c r="B101" s="41">
        <v>12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102.96000000000001</v>
      </c>
      <c r="C102" s="57">
        <f>C100-B100*B101/100</f>
        <v>25.065000000000005</v>
      </c>
      <c r="D102" s="57">
        <f t="shared" ref="D102:L102" si="63">SUM(D90:D99)</f>
        <v>6.9960000000000004</v>
      </c>
      <c r="E102" s="57">
        <f t="shared" si="63"/>
        <v>6.5635000000000012</v>
      </c>
      <c r="F102" s="57">
        <f t="shared" si="63"/>
        <v>60.04549999999999</v>
      </c>
      <c r="G102" s="57">
        <f t="shared" si="63"/>
        <v>3.2800000000000002</v>
      </c>
      <c r="H102" s="57">
        <f t="shared" si="63"/>
        <v>0.95499999999999985</v>
      </c>
      <c r="I102" s="58">
        <f t="shared" si="63"/>
        <v>249.27550000000002</v>
      </c>
      <c r="J102" s="69">
        <f t="shared" si="63"/>
        <v>5.0684684031052751E-2</v>
      </c>
      <c r="K102" s="69">
        <f t="shared" si="63"/>
        <v>2.3424252122179494</v>
      </c>
      <c r="L102" s="66">
        <f t="shared" si="63"/>
        <v>9.4580979830225651</v>
      </c>
    </row>
    <row r="103" spans="1:12" ht="16.8" thickBot="1" x14ac:dyDescent="0.25">
      <c r="A103" s="70" t="s">
        <v>37</v>
      </c>
      <c r="B103" s="71">
        <f>SUM(C103:H103)</f>
        <v>99.9</v>
      </c>
      <c r="C103" s="71">
        <f>ROUND(+C102/B102*100,1)</f>
        <v>24.3</v>
      </c>
      <c r="D103" s="71">
        <f>ROUND(+D102/B102*100,1)</f>
        <v>6.8</v>
      </c>
      <c r="E103" s="71">
        <f>ROUND(+E102/B102*100,1)</f>
        <v>6.4</v>
      </c>
      <c r="F103" s="71">
        <f>ROUND(+F102/B102*100,1)</f>
        <v>58.3</v>
      </c>
      <c r="G103" s="71">
        <f>ROUND(+G102/B102*100,1)</f>
        <v>3.2</v>
      </c>
      <c r="H103" s="71">
        <f>ROUND(+H102/B102*100,1)</f>
        <v>0.9</v>
      </c>
      <c r="I103" s="100">
        <f>ROUND(+I102/B102*100,0)</f>
        <v>242</v>
      </c>
      <c r="J103" s="99">
        <f>ROUND(+J102/B102*100,2)</f>
        <v>0.05</v>
      </c>
      <c r="K103" s="99">
        <f>ROUND(+K102/B102*100,2)</f>
        <v>2.2799999999999998</v>
      </c>
      <c r="L103" s="101">
        <f>ROUND(+L102/B102*100,0)</f>
        <v>9</v>
      </c>
    </row>
    <row r="104" spans="1:12" ht="17.399999999999999" thickTop="1" thickBot="1" x14ac:dyDescent="0.25">
      <c r="A104" s="72" t="s">
        <v>38</v>
      </c>
      <c r="B104" s="73">
        <f>SUM(C104:H104)</f>
        <v>100.00000000000001</v>
      </c>
      <c r="C104" s="163">
        <v>24.3</v>
      </c>
      <c r="D104" s="163">
        <v>6.8</v>
      </c>
      <c r="E104" s="163">
        <v>6.4</v>
      </c>
      <c r="F104" s="74">
        <f>F103+100-B103</f>
        <v>58.400000000000006</v>
      </c>
      <c r="G104" s="164">
        <v>3.2</v>
      </c>
      <c r="H104" s="164">
        <v>0.9</v>
      </c>
      <c r="I104" s="165">
        <v>242</v>
      </c>
      <c r="J104" s="166">
        <v>0.05</v>
      </c>
      <c r="K104" s="166">
        <v>2.2799999999999998</v>
      </c>
      <c r="L104" s="165">
        <v>9</v>
      </c>
    </row>
    <row r="105" spans="1:12" ht="17.399999999999999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7.399999999999999" thickTop="1" thickBot="1" x14ac:dyDescent="0.25">
      <c r="A106" s="147" t="s">
        <v>77</v>
      </c>
      <c r="B106" s="148">
        <v>103</v>
      </c>
      <c r="C106" s="149" t="str">
        <f>IF(COUNTIF(A6,"*ｾﾌﾞﾝﾌﾟﾚﾐｱﾑ*")+COUNTIF(A6,"*7P*"),"7P 複数個入り注意!!","")</f>
        <v/>
      </c>
      <c r="D106" s="77"/>
      <c r="E106" s="77"/>
      <c r="F106" s="80">
        <f>SUM(F104:G104)</f>
        <v>61.600000000000009</v>
      </c>
      <c r="G106" s="77"/>
      <c r="H106" s="167" t="s">
        <v>119</v>
      </c>
      <c r="I106" s="168">
        <v>115</v>
      </c>
      <c r="J106" s="77"/>
      <c r="K106" s="77"/>
      <c r="L106" s="8"/>
    </row>
    <row r="107" spans="1:12" ht="18.600000000000001" thickBot="1" x14ac:dyDescent="0.3">
      <c r="A107" s="2"/>
      <c r="B107" s="2"/>
      <c r="C107" s="2"/>
      <c r="D107" s="2"/>
      <c r="E107" s="81"/>
      <c r="F107" s="82"/>
      <c r="G107" s="2"/>
      <c r="H107" s="169" t="s">
        <v>120</v>
      </c>
      <c r="I107" s="170">
        <v>103</v>
      </c>
      <c r="J107" s="2"/>
      <c r="K107" s="2"/>
      <c r="L107" s="3"/>
    </row>
    <row r="108" spans="1:12" ht="18.600000000000001" thickBot="1" x14ac:dyDescent="0.3">
      <c r="A108" s="83" t="s">
        <v>40</v>
      </c>
      <c r="B108" s="84"/>
      <c r="C108" s="85">
        <f>ROUND(+D104*4+E104*9+F104*4+G104*2,0)</f>
        <v>325</v>
      </c>
      <c r="D108" s="83" t="s">
        <v>41</v>
      </c>
      <c r="E108" s="86"/>
      <c r="F108" s="81"/>
      <c r="G108" s="2"/>
      <c r="H108" s="171" t="s">
        <v>121</v>
      </c>
      <c r="I108" s="172">
        <v>10.5</v>
      </c>
      <c r="J108" s="2"/>
      <c r="K108" s="2"/>
      <c r="L108" s="3"/>
    </row>
    <row r="109" spans="1:12" ht="16.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>
        <f>AG14</f>
        <v>335</v>
      </c>
      <c r="D113" s="112">
        <f>AG15</f>
        <v>7</v>
      </c>
      <c r="E113" s="112">
        <f>AG16</f>
        <v>6.6</v>
      </c>
      <c r="F113" s="113">
        <f>AG17</f>
        <v>63.400000000000006</v>
      </c>
      <c r="G113" s="114">
        <f>AG20</f>
        <v>0.63</v>
      </c>
      <c r="H113" s="115">
        <f>AG25</f>
        <v>2.35</v>
      </c>
      <c r="I113" s="114">
        <f>IF(AG13&gt;=100,AG26,IF(AE26&lt;0.3,0,AG26))</f>
        <v>0.05</v>
      </c>
      <c r="J113" s="116">
        <f>IF(AE27&lt;5,0,AG27)</f>
        <v>9</v>
      </c>
      <c r="K113" s="155" t="str">
        <f>AA18&amp;"："&amp;TEXT(AG18,"G/標準")&amp;AH18&amp;CHAR(10)&amp; AA19&amp;":"&amp;TEXT(AG19,"g/標準")&amp;AH19</f>
        <v>糖質：60.2g
食物繊維:3.2g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G4:H4"/>
    <mergeCell ref="AA31:AJ31"/>
    <mergeCell ref="AK12:AK13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17" priority="10" stopIfTrue="1">
      <formula>$A$2="出力なし"</formula>
    </cfRule>
  </conditionalFormatting>
  <conditionalFormatting sqref="AA31:AJ31">
    <cfRule type="expression" dxfId="16" priority="18" stopIfTrue="1">
      <formula>NOT(AA31="この表示値は、目安です。")</formula>
    </cfRule>
  </conditionalFormatting>
  <conditionalFormatting sqref="AG12:AI12">
    <cfRule type="expression" dxfId="15" priority="16" stopIfTrue="1">
      <formula>NOT(AG12="1個当たり")</formula>
    </cfRule>
  </conditionalFormatting>
  <conditionalFormatting sqref="AG27">
    <cfRule type="expression" dxfId="14" priority="15" stopIfTrue="1">
      <formula>IF(AND(COUNTIF($A$6,"&lt;&gt;*様*"),$AE$27&lt;5),TRUE,FALSE)</formula>
    </cfRule>
  </conditionalFormatting>
  <conditionalFormatting sqref="AG26">
    <cfRule type="expression" dxfId="13" priority="14" stopIfTrue="1">
      <formula>IF(AND(COUNTIF($A$6,"&lt;&gt;*様*"),$AG$13&lt;100,$AE$26&lt;0.3),TRUE,FALSE)</formula>
    </cfRule>
  </conditionalFormatting>
  <conditionalFormatting sqref="AE23">
    <cfRule type="expression" dxfId="12" priority="13" stopIfTrue="1">
      <formula>IF($A$4="蒸し物",IF($AE$23&lt;30,TRUE,FALSE),FALSE)</formula>
    </cfRule>
  </conditionalFormatting>
  <conditionalFormatting sqref="Z25">
    <cfRule type="expression" dxfId="11" priority="9" stopIfTrue="1">
      <formula>COUNTIF($Z$25,"*1")</formula>
    </cfRule>
  </conditionalFormatting>
  <conditionalFormatting sqref="AG12:AI12">
    <cfRule type="expression" dxfId="10" priority="2" stopIfTrue="1">
      <formula>NOT(AG12="1個当たり")</formula>
    </cfRule>
  </conditionalFormatting>
  <conditionalFormatting sqref="Z26">
    <cfRule type="expression" dxfId="9" priority="1" stopIfTrue="1">
      <formula>COUNTIF($Z$26,"*2")</formula>
    </cfRule>
  </conditionalFormatting>
  <dataValidations disablePrompts="1" count="2"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2" r:id="rId4" name="cmdClear104">
          <controlPr defaultSize="0" autoLine="0" autoPict="0" r:id="rId5">
            <anchor moveWithCells="1" sizeWithCells="1">
              <from>
                <xdr:col>21</xdr:col>
                <xdr:colOff>22860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60960</xdr:rowOff>
              </to>
            </anchor>
          </controlPr>
        </control>
      </mc:Choice>
      <mc:Fallback>
        <control shapeId="2052" r:id="rId4" name="cmdClear104"/>
      </mc:Fallback>
    </mc:AlternateContent>
    <mc:AlternateContent xmlns:mc="http://schemas.openxmlformats.org/markup-compatibility/2006">
      <mc:Choice Requires="x14">
        <control shapeId="2051" r:id="rId6" name="cmdCopy104">
          <controlPr defaultSize="0" autoLine="0" autoPict="0" r:id="rId7">
            <anchor moveWithCells="1" sizeWithCells="1">
              <from>
                <xdr:col>13</xdr:col>
                <xdr:colOff>99060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60960</xdr:rowOff>
              </to>
            </anchor>
          </controlPr>
        </control>
      </mc:Choice>
      <mc:Fallback>
        <control shapeId="2051" r:id="rId6" name="cmdCopy104"/>
      </mc:Fallback>
    </mc:AlternateContent>
    <mc:AlternateContent xmlns:mc="http://schemas.openxmlformats.org/markup-compatibility/2006">
      <mc:Choice Requires="x14">
        <control shapeId="2050" r:id="rId8" name="cmdClear87">
          <controlPr defaultSize="0" autoLine="0" autoPict="0" r:id="rId9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487680</xdr:colOff>
                <xdr:row>87</xdr:row>
                <xdr:rowOff>99060</xdr:rowOff>
              </to>
            </anchor>
          </controlPr>
        </control>
      </mc:Choice>
      <mc:Fallback>
        <control shapeId="2050" r:id="rId8" name="cmdClear87"/>
      </mc:Fallback>
    </mc:AlternateContent>
    <mc:AlternateContent xmlns:mc="http://schemas.openxmlformats.org/markup-compatibility/2006">
      <mc:Choice Requires="x14">
        <control shapeId="2049" r:id="rId10" name="cmdCopy87">
          <controlPr defaultSize="0" autoLine="0" autoPict="0" r:id="rId11">
            <anchor moveWithCells="1" sizeWithCells="1">
              <from>
                <xdr:col>13</xdr:col>
                <xdr:colOff>99060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99060</xdr:rowOff>
              </to>
            </anchor>
          </controlPr>
        </control>
      </mc:Choice>
      <mc:Fallback>
        <control shapeId="2049" r:id="rId10" name="cmdCopy8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30">
    <pageSetUpPr fitToPage="1"/>
  </sheetPr>
  <dimension ref="A1:AK120"/>
  <sheetViews>
    <sheetView showGridLines="0" zoomScale="70" zoomScaleNormal="70" workbookViewId="0"/>
  </sheetViews>
  <sheetFormatPr defaultColWidth="10.6640625" defaultRowHeight="16.2" x14ac:dyDescent="0.2"/>
  <cols>
    <col min="1" max="1" width="18.6640625" style="4" customWidth="1"/>
    <col min="2" max="2" width="8.44140625" style="4" customWidth="1"/>
    <col min="3" max="5" width="9.6640625" style="4" customWidth="1"/>
    <col min="6" max="6" width="12.109375" style="4" customWidth="1"/>
    <col min="7" max="8" width="9.6640625" style="4" customWidth="1"/>
    <col min="9" max="10" width="11.21875" style="4" customWidth="1"/>
    <col min="11" max="11" width="11.77734375" style="4" customWidth="1"/>
    <col min="12" max="12" width="11.21875" style="88" customWidth="1"/>
    <col min="13" max="13" width="10.6640625" style="4"/>
    <col min="14" max="14" width="4" style="4" customWidth="1"/>
    <col min="15" max="25" width="1.109375" style="4" customWidth="1"/>
    <col min="26" max="26" width="6.88671875" style="4" customWidth="1"/>
    <col min="27" max="27" width="18.88671875" style="4" customWidth="1"/>
    <col min="28" max="28" width="3.44140625" style="4" customWidth="1"/>
    <col min="29" max="29" width="3.88671875" style="4" customWidth="1"/>
    <col min="30" max="30" width="6.109375" style="4" bestFit="1" customWidth="1"/>
    <col min="31" max="31" width="14.44140625" style="4" customWidth="1"/>
    <col min="32" max="32" width="6.109375" style="4" customWidth="1"/>
    <col min="33" max="33" width="14.6640625" style="4" customWidth="1"/>
    <col min="34" max="34" width="12.77734375" style="4" customWidth="1"/>
    <col min="35" max="36" width="10.6640625" style="4" customWidth="1"/>
    <col min="37" max="37" width="14" style="4" bestFit="1" customWidth="1"/>
    <col min="38" max="16384" width="10.6640625" style="4"/>
  </cols>
  <sheetData>
    <row r="1" spans="1:37" x14ac:dyDescent="0.2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  <c r="AA1" s="135" t="s">
        <v>76</v>
      </c>
    </row>
    <row r="2" spans="1:37" x14ac:dyDescent="0.2">
      <c r="A2" s="122" t="s">
        <v>116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  <c r="AA2" s="5"/>
      <c r="AB2" s="5"/>
      <c r="AC2" s="5"/>
      <c r="AD2" s="5"/>
      <c r="AE2" s="5"/>
      <c r="AF2" s="5"/>
      <c r="AG2" s="5"/>
      <c r="AH2" s="5"/>
      <c r="AI2" s="5"/>
      <c r="AJ2" s="5"/>
    </row>
    <row r="3" spans="1:37" x14ac:dyDescent="0.2">
      <c r="A3" s="1" t="s">
        <v>63</v>
      </c>
      <c r="B3" s="2"/>
      <c r="C3" s="2"/>
      <c r="D3" s="2"/>
      <c r="E3" s="2"/>
      <c r="F3" s="2"/>
      <c r="G3" s="2"/>
      <c r="H3" s="2"/>
      <c r="I3" s="2"/>
      <c r="J3" s="2"/>
      <c r="K3" s="2"/>
      <c r="L3" s="3"/>
      <c r="AA3" s="5"/>
      <c r="AB3" s="5"/>
      <c r="AC3" s="5"/>
      <c r="AD3" s="5"/>
      <c r="AE3" s="5"/>
      <c r="AF3" s="5"/>
      <c r="AG3" s="5"/>
      <c r="AH3" s="5"/>
      <c r="AI3" s="5"/>
      <c r="AJ3" s="5"/>
    </row>
    <row r="4" spans="1:37" x14ac:dyDescent="0.2">
      <c r="A4" s="137" t="s">
        <v>81</v>
      </c>
      <c r="B4" s="2"/>
      <c r="C4" s="2"/>
      <c r="D4" s="2"/>
      <c r="E4" s="2"/>
      <c r="F4" s="158" t="s">
        <v>82</v>
      </c>
      <c r="G4" s="173" t="s">
        <v>118</v>
      </c>
      <c r="H4" s="174"/>
      <c r="I4" s="2"/>
      <c r="J4" s="2"/>
      <c r="K4" s="2"/>
      <c r="L4" s="3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7" x14ac:dyDescent="0.2">
      <c r="A5" s="177" t="s">
        <v>1</v>
      </c>
      <c r="B5" s="177"/>
      <c r="C5" s="177"/>
      <c r="D5" s="177"/>
      <c r="E5" s="177"/>
      <c r="F5" s="125" t="s">
        <v>68</v>
      </c>
      <c r="G5" s="125" t="s">
        <v>69</v>
      </c>
      <c r="H5" s="125" t="s">
        <v>70</v>
      </c>
      <c r="I5" s="157" t="s">
        <v>84</v>
      </c>
      <c r="J5" s="2"/>
      <c r="K5" s="2" t="s">
        <v>71</v>
      </c>
      <c r="L5" s="3" t="s">
        <v>114</v>
      </c>
      <c r="AA5" s="5"/>
      <c r="AB5" s="5"/>
      <c r="AC5" s="5"/>
      <c r="AD5" s="5"/>
      <c r="AE5" s="5"/>
      <c r="AF5" s="5"/>
      <c r="AG5" s="5"/>
      <c r="AH5" s="5"/>
      <c r="AI5" s="92" t="str">
        <f>$I$5</f>
        <v>2026年4月16日</v>
      </c>
      <c r="AJ5" s="5"/>
    </row>
    <row r="6" spans="1:37" ht="21" x14ac:dyDescent="0.25">
      <c r="A6" s="178" t="s">
        <v>108</v>
      </c>
      <c r="B6" s="179"/>
      <c r="C6" s="179"/>
      <c r="D6" s="179"/>
      <c r="E6" s="180"/>
      <c r="F6" s="126" t="s">
        <v>112</v>
      </c>
      <c r="G6" s="127" t="s">
        <v>113</v>
      </c>
      <c r="H6" s="128" t="s">
        <v>83</v>
      </c>
      <c r="I6" s="6"/>
      <c r="J6" s="7"/>
      <c r="K6" s="7" t="s">
        <v>72</v>
      </c>
      <c r="L6" s="8"/>
      <c r="AA6" s="5"/>
      <c r="AB6" s="5"/>
      <c r="AC6" s="5"/>
      <c r="AD6" s="5"/>
      <c r="AE6" s="5"/>
      <c r="AF6" s="15"/>
      <c r="AG6" s="15"/>
      <c r="AH6" s="5"/>
      <c r="AI6" s="5"/>
      <c r="AJ6" s="5"/>
    </row>
    <row r="7" spans="1:37" ht="23.4" x14ac:dyDescent="0.3">
      <c r="A7" s="129" t="s">
        <v>2</v>
      </c>
      <c r="B7" s="130" t="s">
        <v>3</v>
      </c>
      <c r="C7" s="130" t="s">
        <v>4</v>
      </c>
      <c r="D7" s="130" t="s">
        <v>5</v>
      </c>
      <c r="E7" s="130" t="s">
        <v>6</v>
      </c>
      <c r="F7" s="130" t="s">
        <v>7</v>
      </c>
      <c r="G7" s="130" t="s">
        <v>8</v>
      </c>
      <c r="H7" s="130" t="s">
        <v>9</v>
      </c>
      <c r="I7" s="131" t="s">
        <v>10</v>
      </c>
      <c r="J7" s="132" t="s">
        <v>11</v>
      </c>
      <c r="K7" s="133" t="s">
        <v>12</v>
      </c>
      <c r="L7" s="134" t="s">
        <v>13</v>
      </c>
      <c r="AA7" s="16" t="s">
        <v>14</v>
      </c>
      <c r="AB7" s="181" t="str">
        <f>IF(COUNTIF($F$6,"1"),CONCATENATE($A$6,"(",$H$6,")"),CONCATENATE($A$6,$F$6,$G$6,"入","(",$H$6,")"))</f>
        <v>焼きいも一本(東京)</v>
      </c>
      <c r="AC7" s="181"/>
      <c r="AD7" s="181"/>
      <c r="AE7" s="181"/>
      <c r="AF7" s="181"/>
      <c r="AG7" s="181"/>
      <c r="AH7" s="181"/>
      <c r="AI7" s="181"/>
      <c r="AJ7" s="5"/>
    </row>
    <row r="8" spans="1:37" x14ac:dyDescent="0.2">
      <c r="A8" s="106" t="s">
        <v>91</v>
      </c>
      <c r="B8" s="107">
        <v>30</v>
      </c>
      <c r="C8" s="108">
        <v>0.7</v>
      </c>
      <c r="D8" s="108">
        <v>0</v>
      </c>
      <c r="E8" s="108">
        <v>0</v>
      </c>
      <c r="F8" s="108">
        <v>99.3</v>
      </c>
      <c r="G8" s="108"/>
      <c r="H8" s="108">
        <v>0</v>
      </c>
      <c r="I8" s="108">
        <v>1</v>
      </c>
      <c r="J8" s="108"/>
      <c r="K8" s="108"/>
      <c r="L8" s="108">
        <v>0</v>
      </c>
      <c r="M8" s="4">
        <f>SUM(C8:H8)</f>
        <v>100</v>
      </c>
      <c r="AB8" s="5" t="s">
        <v>65</v>
      </c>
      <c r="AJ8" s="5"/>
    </row>
    <row r="9" spans="1:37" x14ac:dyDescent="0.2">
      <c r="A9" s="106" t="s">
        <v>100</v>
      </c>
      <c r="B9" s="107">
        <v>0.3</v>
      </c>
      <c r="C9" s="108">
        <v>0.38</v>
      </c>
      <c r="D9" s="108">
        <v>0.03</v>
      </c>
      <c r="E9" s="108">
        <v>0.65</v>
      </c>
      <c r="F9" s="108">
        <v>53.74</v>
      </c>
      <c r="G9" s="108">
        <v>0</v>
      </c>
      <c r="H9" s="108">
        <v>45.2</v>
      </c>
      <c r="I9" s="108">
        <v>19600</v>
      </c>
      <c r="J9" s="108">
        <v>0</v>
      </c>
      <c r="K9" s="108">
        <v>0.5</v>
      </c>
      <c r="L9" s="108">
        <v>0</v>
      </c>
      <c r="M9" s="4">
        <f>SUM(C9:H9)</f>
        <v>100</v>
      </c>
      <c r="AA9" s="5"/>
      <c r="AB9" s="5" t="s">
        <v>66</v>
      </c>
      <c r="AC9" s="5"/>
      <c r="AD9" s="5"/>
      <c r="AE9" s="5"/>
      <c r="AF9" s="5"/>
      <c r="AG9" s="5"/>
      <c r="AH9" s="5"/>
      <c r="AI9" s="5"/>
      <c r="AJ9" s="5"/>
    </row>
    <row r="10" spans="1:37" x14ac:dyDescent="0.2">
      <c r="A10" s="106" t="s">
        <v>93</v>
      </c>
      <c r="B10" s="107">
        <v>30</v>
      </c>
      <c r="C10" s="108">
        <v>16.5</v>
      </c>
      <c r="D10" s="108">
        <v>0</v>
      </c>
      <c r="E10" s="108">
        <v>83.2</v>
      </c>
      <c r="F10" s="108">
        <v>0</v>
      </c>
      <c r="G10" s="108">
        <v>0</v>
      </c>
      <c r="H10" s="108">
        <v>0.3</v>
      </c>
      <c r="I10" s="108">
        <v>118</v>
      </c>
      <c r="J10" s="108">
        <v>0.8</v>
      </c>
      <c r="K10" s="108">
        <v>31.1</v>
      </c>
      <c r="L10" s="108">
        <v>1</v>
      </c>
      <c r="M10" s="4">
        <f t="shared" ref="M10:M22" si="0">SUM(C10:H10)</f>
        <v>100</v>
      </c>
      <c r="AA10" s="5"/>
      <c r="AB10" s="5"/>
      <c r="AC10" s="5"/>
      <c r="AD10" s="5"/>
      <c r="AE10" s="5"/>
      <c r="AF10" s="5"/>
      <c r="AG10" s="5"/>
      <c r="AH10" s="5"/>
      <c r="AI10" s="5"/>
      <c r="AJ10" s="5"/>
    </row>
    <row r="11" spans="1:37" x14ac:dyDescent="0.2">
      <c r="A11" s="106" t="s">
        <v>95</v>
      </c>
      <c r="B11" s="107">
        <v>18</v>
      </c>
      <c r="C11" s="108">
        <v>83.1</v>
      </c>
      <c r="D11" s="108">
        <v>9.6</v>
      </c>
      <c r="E11" s="108">
        <v>5.4</v>
      </c>
      <c r="F11" s="108">
        <v>0.4</v>
      </c>
      <c r="G11" s="108">
        <v>0</v>
      </c>
      <c r="H11" s="108">
        <v>0.7</v>
      </c>
      <c r="I11" s="108">
        <v>130</v>
      </c>
      <c r="J11" s="108">
        <v>0</v>
      </c>
      <c r="K11" s="108">
        <v>1.65</v>
      </c>
      <c r="L11" s="108">
        <v>196</v>
      </c>
      <c r="M11" s="4">
        <f t="shared" si="0"/>
        <v>99.2</v>
      </c>
      <c r="AB11" s="5"/>
      <c r="AC11" s="5"/>
      <c r="AD11" s="5"/>
      <c r="AE11" s="5"/>
      <c r="AF11" s="5"/>
      <c r="AG11" s="5"/>
      <c r="AH11" s="5"/>
      <c r="AI11" s="5"/>
      <c r="AJ11" s="5"/>
    </row>
    <row r="12" spans="1:37" ht="24.75" customHeight="1" x14ac:dyDescent="0.3">
      <c r="A12" s="106" t="s">
        <v>104</v>
      </c>
      <c r="B12" s="107">
        <v>1</v>
      </c>
      <c r="C12" s="108">
        <v>35.1</v>
      </c>
      <c r="D12" s="108">
        <v>0</v>
      </c>
      <c r="E12" s="108">
        <v>0</v>
      </c>
      <c r="F12" s="108">
        <v>47.9</v>
      </c>
      <c r="G12" s="108">
        <v>13.5</v>
      </c>
      <c r="H12" s="108">
        <v>3.5</v>
      </c>
      <c r="I12" s="108">
        <v>1461</v>
      </c>
      <c r="J12" s="108"/>
      <c r="K12" s="108"/>
      <c r="L12" s="108"/>
      <c r="M12" s="4">
        <f t="shared" si="0"/>
        <v>100</v>
      </c>
      <c r="AA12" s="16" t="s">
        <v>15</v>
      </c>
      <c r="AB12" s="5"/>
      <c r="AC12" s="5"/>
      <c r="AD12" s="17"/>
      <c r="AE12" s="182" t="s">
        <v>59</v>
      </c>
      <c r="AG12" s="184" t="str">
        <f>"1"&amp;$G$6&amp;"当たり"</f>
        <v>1個当たり</v>
      </c>
      <c r="AH12" s="184"/>
      <c r="AI12" s="184"/>
      <c r="AJ12" s="18"/>
      <c r="AK12" s="176" t="s">
        <v>45</v>
      </c>
    </row>
    <row r="13" spans="1:37" ht="24.6" x14ac:dyDescent="0.3">
      <c r="A13" s="106" t="s">
        <v>87</v>
      </c>
      <c r="B13" s="107">
        <v>90</v>
      </c>
      <c r="C13" s="108">
        <v>14.5</v>
      </c>
      <c r="D13" s="108">
        <v>8</v>
      </c>
      <c r="E13" s="108">
        <v>1.5</v>
      </c>
      <c r="F13" s="108">
        <v>73.099999999999994</v>
      </c>
      <c r="G13" s="108">
        <v>2.5</v>
      </c>
      <c r="H13" s="108">
        <v>0.4</v>
      </c>
      <c r="I13" s="108">
        <v>0</v>
      </c>
      <c r="J13" s="108">
        <v>0</v>
      </c>
      <c r="K13" s="108">
        <v>0.34</v>
      </c>
      <c r="L13" s="108">
        <v>0</v>
      </c>
      <c r="M13" s="4">
        <f t="shared" si="0"/>
        <v>100</v>
      </c>
      <c r="AA13" s="5"/>
      <c r="AB13" s="5"/>
      <c r="AC13" s="5"/>
      <c r="AD13" s="19"/>
      <c r="AE13" s="183"/>
      <c r="AF13" s="17"/>
      <c r="AG13" s="152">
        <f>IF((COUNTIF($A$6,"*7P*")+COUNTIF($A$6,"*ｾﾌﾞﾝﾌﾟﾚﾐｱﾑ*")),$B$106,ROUND($B$102,0))</f>
        <v>0</v>
      </c>
      <c r="AH13" s="21" t="s">
        <v>16</v>
      </c>
      <c r="AI13" s="20"/>
      <c r="AJ13" s="22"/>
      <c r="AK13" s="176"/>
    </row>
    <row r="14" spans="1:37" s="23" customFormat="1" ht="22.8" x14ac:dyDescent="0.3">
      <c r="A14" s="106" t="s">
        <v>105</v>
      </c>
      <c r="B14" s="107">
        <v>10</v>
      </c>
      <c r="C14" s="108">
        <v>14.4</v>
      </c>
      <c r="D14" s="108">
        <v>12.7</v>
      </c>
      <c r="E14" s="108">
        <v>1.7</v>
      </c>
      <c r="F14" s="108">
        <v>68.61</v>
      </c>
      <c r="G14" s="108">
        <v>2.1</v>
      </c>
      <c r="H14" s="108">
        <v>0.49</v>
      </c>
      <c r="I14" s="108"/>
      <c r="J14" s="108"/>
      <c r="K14" s="108">
        <v>0.39</v>
      </c>
      <c r="L14" s="108">
        <v>0</v>
      </c>
      <c r="M14" s="4">
        <f t="shared" si="0"/>
        <v>99.999999999999986</v>
      </c>
      <c r="N14" s="4" t="s">
        <v>106</v>
      </c>
      <c r="AA14" s="24" t="str">
        <f>IF(COUNTIF(A6,"*FM*"),"熱量","エネルギー")</f>
        <v>エネルギー</v>
      </c>
      <c r="AB14" s="25"/>
      <c r="AC14" s="26"/>
      <c r="AD14" s="26"/>
      <c r="AE14" s="27" t="e">
        <f>$C$108</f>
        <v>#DIV/0!</v>
      </c>
      <c r="AF14" s="28"/>
      <c r="AG14" s="27" t="e">
        <f>ROUND((AG15+AG18)*4+(AG16*9)+(AG19*2),0)</f>
        <v>#DIV/0!</v>
      </c>
      <c r="AH14" s="26" t="s">
        <v>50</v>
      </c>
      <c r="AI14" s="29"/>
      <c r="AJ14" s="25"/>
      <c r="AK14" s="105">
        <v>0</v>
      </c>
    </row>
    <row r="15" spans="1:37" ht="22.8" x14ac:dyDescent="0.3">
      <c r="A15" s="106"/>
      <c r="B15" s="107"/>
      <c r="C15" s="108"/>
      <c r="D15" s="108"/>
      <c r="E15" s="108"/>
      <c r="F15" s="108"/>
      <c r="G15" s="108"/>
      <c r="H15" s="108"/>
      <c r="I15" s="108"/>
      <c r="J15" s="108"/>
      <c r="K15" s="108"/>
      <c r="L15" s="108"/>
      <c r="M15" s="4">
        <f t="shared" si="0"/>
        <v>0</v>
      </c>
      <c r="AA15" s="30" t="s">
        <v>17</v>
      </c>
      <c r="AB15" s="31"/>
      <c r="AC15" s="26"/>
      <c r="AD15" s="26"/>
      <c r="AE15" s="29" t="e">
        <f>$D$104</f>
        <v>#DIV/0!</v>
      </c>
      <c r="AF15" s="28"/>
      <c r="AG15" s="29" t="e">
        <f>ROUND(($AG$13*AE15)/100,1)</f>
        <v>#DIV/0!</v>
      </c>
      <c r="AH15" s="26" t="s">
        <v>60</v>
      </c>
      <c r="AI15" s="29"/>
      <c r="AJ15" s="31"/>
      <c r="AK15" s="105">
        <v>1</v>
      </c>
    </row>
    <row r="16" spans="1:37" ht="22.8" x14ac:dyDescent="0.3">
      <c r="A16" s="106"/>
      <c r="B16" s="107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23">
        <f t="shared" si="0"/>
        <v>0</v>
      </c>
      <c r="N16" s="23"/>
      <c r="AA16" s="30" t="s">
        <v>18</v>
      </c>
      <c r="AB16" s="26"/>
      <c r="AC16" s="26"/>
      <c r="AD16" s="26"/>
      <c r="AE16" s="29" t="e">
        <f>$E$104</f>
        <v>#DIV/0!</v>
      </c>
      <c r="AF16" s="28"/>
      <c r="AG16" s="29" t="e">
        <f>ROUND(($AG$13*AE16)/100,1)</f>
        <v>#DIV/0!</v>
      </c>
      <c r="AH16" s="26" t="s">
        <v>60</v>
      </c>
      <c r="AI16" s="29"/>
      <c r="AJ16" s="31"/>
      <c r="AK16" s="105">
        <v>1</v>
      </c>
    </row>
    <row r="17" spans="1:37" ht="22.8" x14ac:dyDescent="0.3">
      <c r="A17" s="106"/>
      <c r="B17" s="107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4">
        <f t="shared" si="0"/>
        <v>0</v>
      </c>
      <c r="AA17" s="30" t="s">
        <v>20</v>
      </c>
      <c r="AB17" s="31"/>
      <c r="AC17" s="26"/>
      <c r="AD17" s="26"/>
      <c r="AE17" s="29" t="e">
        <f>$F$106</f>
        <v>#DIV/0!</v>
      </c>
      <c r="AF17" s="28"/>
      <c r="AG17" s="29" t="e">
        <f>AG18+AG19</f>
        <v>#DIV/0!</v>
      </c>
      <c r="AH17" s="26" t="s">
        <v>60</v>
      </c>
      <c r="AI17" s="29"/>
      <c r="AJ17" s="31"/>
      <c r="AK17" s="105">
        <v>1</v>
      </c>
    </row>
    <row r="18" spans="1:37" ht="22.8" x14ac:dyDescent="0.3">
      <c r="A18" s="106"/>
      <c r="B18" s="107"/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4">
        <f t="shared" si="0"/>
        <v>0</v>
      </c>
      <c r="AA18" s="153" t="s">
        <v>78</v>
      </c>
      <c r="AB18" s="31"/>
      <c r="AC18" s="26"/>
      <c r="AD18" s="26"/>
      <c r="AE18" s="151" t="e">
        <f>$F$104</f>
        <v>#DIV/0!</v>
      </c>
      <c r="AF18" s="145"/>
      <c r="AG18" s="151" t="e">
        <f>ROUND(($AG$13*AE18)/100,1)</f>
        <v>#DIV/0!</v>
      </c>
      <c r="AH18" s="26" t="s">
        <v>60</v>
      </c>
      <c r="AI18" s="34"/>
      <c r="AJ18" s="31"/>
      <c r="AK18" s="105">
        <v>1</v>
      </c>
    </row>
    <row r="19" spans="1:37" ht="22.8" x14ac:dyDescent="0.3">
      <c r="A19" s="106"/>
      <c r="B19" s="107"/>
      <c r="C19" s="108"/>
      <c r="D19" s="108"/>
      <c r="E19" s="108"/>
      <c r="F19" s="108"/>
      <c r="G19" s="108"/>
      <c r="H19" s="108"/>
      <c r="I19" s="108"/>
      <c r="J19" s="108"/>
      <c r="K19" s="108"/>
      <c r="L19" s="108"/>
      <c r="M19" s="4">
        <f t="shared" si="0"/>
        <v>0</v>
      </c>
      <c r="AA19" s="154" t="s">
        <v>79</v>
      </c>
      <c r="AB19" s="31"/>
      <c r="AC19" s="90"/>
      <c r="AD19" s="26"/>
      <c r="AE19" s="29" t="e">
        <f>$G$104</f>
        <v>#DIV/0!</v>
      </c>
      <c r="AF19" s="28"/>
      <c r="AG19" s="29" t="e">
        <f>ROUNDDOWN(($AG$13*AE19)/100,1)</f>
        <v>#DIV/0!</v>
      </c>
      <c r="AH19" s="90" t="s">
        <v>60</v>
      </c>
      <c r="AI19" s="34"/>
      <c r="AJ19" s="31"/>
      <c r="AK19" s="105">
        <v>1</v>
      </c>
    </row>
    <row r="20" spans="1:37" ht="22.8" x14ac:dyDescent="0.3">
      <c r="A20" s="106"/>
      <c r="B20" s="107"/>
      <c r="C20" s="108"/>
      <c r="D20" s="108"/>
      <c r="E20" s="108"/>
      <c r="F20" s="108"/>
      <c r="G20" s="108"/>
      <c r="H20" s="108"/>
      <c r="I20" s="108"/>
      <c r="J20" s="108"/>
      <c r="K20" s="108"/>
      <c r="L20" s="108"/>
      <c r="M20" s="4">
        <f t="shared" si="0"/>
        <v>0</v>
      </c>
      <c r="AA20" s="30" t="s">
        <v>21</v>
      </c>
      <c r="AB20" s="31"/>
      <c r="AC20" s="26"/>
      <c r="AD20" s="26"/>
      <c r="AE20" s="144" t="e">
        <f>IF($AE$22&lt;4.5,0,ROUND($AE$22/1000*2.54,2))</f>
        <v>#DIV/0!</v>
      </c>
      <c r="AF20" s="28"/>
      <c r="AG20" s="144" t="e">
        <f>IF($AE$22&lt;4.5,0,ROUND($AG$22/1000*2.54,2))</f>
        <v>#DIV/0!</v>
      </c>
      <c r="AH20" s="26" t="s">
        <v>60</v>
      </c>
      <c r="AI20" s="27"/>
      <c r="AJ20" s="31"/>
      <c r="AK20" s="105" t="e">
        <f>IF($AE$22&lt;4.5,0,2)</f>
        <v>#DIV/0!</v>
      </c>
    </row>
    <row r="21" spans="1:37" ht="22.8" x14ac:dyDescent="0.3">
      <c r="A21" s="106"/>
      <c r="B21" s="107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4">
        <f t="shared" si="0"/>
        <v>0</v>
      </c>
      <c r="AA21" s="30"/>
      <c r="AB21" s="31"/>
      <c r="AC21" s="26"/>
      <c r="AD21" s="26"/>
      <c r="AE21" s="34"/>
      <c r="AF21" s="28"/>
      <c r="AG21" s="34"/>
      <c r="AH21" s="26"/>
      <c r="AI21" s="39"/>
      <c r="AJ21" s="34"/>
    </row>
    <row r="22" spans="1:37" ht="22.8" x14ac:dyDescent="0.3">
      <c r="A22" s="106"/>
      <c r="B22" s="107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4">
        <f t="shared" si="0"/>
        <v>0</v>
      </c>
      <c r="AA22" s="30" t="s">
        <v>22</v>
      </c>
      <c r="AB22" s="31"/>
      <c r="AC22" s="26"/>
      <c r="AD22" s="26"/>
      <c r="AE22" s="27" t="e">
        <f>$I$104</f>
        <v>#DIV/0!</v>
      </c>
      <c r="AF22" s="28"/>
      <c r="AG22" s="27" t="e">
        <f>ROUND(($AG$13*AE22)/100,0)</f>
        <v>#DIV/0!</v>
      </c>
      <c r="AH22" s="26" t="s">
        <v>61</v>
      </c>
      <c r="AI22" s="39"/>
      <c r="AJ22" s="37"/>
    </row>
    <row r="23" spans="1:37" ht="22.8" x14ac:dyDescent="0.3">
      <c r="A23" s="106"/>
      <c r="B23" s="107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4">
        <f t="shared" ref="M23:M37" si="1">SUM(C23:H23)</f>
        <v>0</v>
      </c>
      <c r="AA23" s="30" t="s">
        <v>23</v>
      </c>
      <c r="AB23" s="37"/>
      <c r="AC23" s="38"/>
      <c r="AD23" s="38"/>
      <c r="AE23" s="40" t="e">
        <f>$C$104</f>
        <v>#DIV/0!</v>
      </c>
      <c r="AF23" s="146"/>
      <c r="AG23" s="40" t="e">
        <f>ROUND(($AG$13*AE23)/100,1)</f>
        <v>#DIV/0!</v>
      </c>
      <c r="AH23" s="38" t="s">
        <v>60</v>
      </c>
      <c r="AI23" s="34"/>
      <c r="AJ23" s="31"/>
    </row>
    <row r="24" spans="1:37" ht="22.8" x14ac:dyDescent="0.3">
      <c r="A24" s="106"/>
      <c r="B24" s="107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4">
        <f t="shared" si="1"/>
        <v>0</v>
      </c>
      <c r="AA24" s="30" t="s">
        <v>26</v>
      </c>
      <c r="AB24" s="37"/>
      <c r="AC24" s="38"/>
      <c r="AD24" s="38"/>
      <c r="AE24" s="40" t="e">
        <f>$H$104</f>
        <v>#DIV/0!</v>
      </c>
      <c r="AF24" s="146"/>
      <c r="AG24" s="40" t="e">
        <f>ROUND(($AG$13*AE24)/100,1)</f>
        <v>#DIV/0!</v>
      </c>
      <c r="AH24" s="38" t="s">
        <v>60</v>
      </c>
      <c r="AI24" s="34"/>
      <c r="AJ24" s="31"/>
    </row>
    <row r="25" spans="1:37" ht="22.65" customHeight="1" x14ac:dyDescent="0.3">
      <c r="A25" s="106"/>
      <c r="B25" s="107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4">
        <f t="shared" si="1"/>
        <v>0</v>
      </c>
      <c r="Z25" s="4" t="e">
        <f>IF(AG25&lt;15,"","＊1")</f>
        <v>#DIV/0!</v>
      </c>
      <c r="AA25" s="30" t="s">
        <v>12</v>
      </c>
      <c r="AB25" s="26"/>
      <c r="AC25" s="26"/>
      <c r="AD25" s="26"/>
      <c r="AE25" s="144" t="e">
        <f>$K$104</f>
        <v>#DIV/0!</v>
      </c>
      <c r="AF25" s="43"/>
      <c r="AG25" s="144" t="e">
        <f>ROUND(($AG$13*AE25)/100,2)</f>
        <v>#DIV/0!</v>
      </c>
      <c r="AH25" s="26" t="s">
        <v>60</v>
      </c>
      <c r="AI25" s="34"/>
      <c r="AJ25" s="31"/>
      <c r="AK25" s="105">
        <v>2</v>
      </c>
    </row>
    <row r="26" spans="1:37" ht="22.8" x14ac:dyDescent="0.3">
      <c r="A26" s="106"/>
      <c r="B26" s="107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4">
        <f t="shared" si="1"/>
        <v>0</v>
      </c>
      <c r="Z26" s="136" t="e">
        <f>IF(OR(AND(AE26&gt;=0.3,AG26*VALUE(F6)&gt;=0.45),AE26&gt;=0.45,AND(AG13&gt;=100,AG26*VALUE(F6)&gt;=0.45)),"＊2","")</f>
        <v>#DIV/0!</v>
      </c>
      <c r="AA26" s="30" t="s">
        <v>28</v>
      </c>
      <c r="AB26" s="26"/>
      <c r="AC26" s="26"/>
      <c r="AD26" s="26"/>
      <c r="AE26" s="144" t="e">
        <f>$J$104</f>
        <v>#DIV/0!</v>
      </c>
      <c r="AF26" s="44"/>
      <c r="AG26" s="144" t="e">
        <f>ROUND(($AG$13*AE26)/100,2)</f>
        <v>#DIV/0!</v>
      </c>
      <c r="AH26" s="26" t="s">
        <v>60</v>
      </c>
      <c r="AI26" s="34"/>
      <c r="AJ26" s="31"/>
      <c r="AK26" s="105">
        <v>2</v>
      </c>
    </row>
    <row r="27" spans="1:37" ht="22.8" x14ac:dyDescent="0.3">
      <c r="A27" s="106"/>
      <c r="B27" s="107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4">
        <f t="shared" si="1"/>
        <v>0</v>
      </c>
      <c r="AA27" s="30" t="s">
        <v>29</v>
      </c>
      <c r="AB27" s="26"/>
      <c r="AC27" s="26"/>
      <c r="AD27" s="26"/>
      <c r="AE27" s="93" t="e">
        <f>$L$104</f>
        <v>#DIV/0!</v>
      </c>
      <c r="AF27" s="44"/>
      <c r="AG27" s="27" t="e">
        <f>ROUND(($AG$13*AE27)/100,0)</f>
        <v>#DIV/0!</v>
      </c>
      <c r="AH27" s="26" t="s">
        <v>61</v>
      </c>
      <c r="AI27" s="34"/>
      <c r="AJ27" s="31"/>
      <c r="AK27" s="105">
        <v>0</v>
      </c>
    </row>
    <row r="28" spans="1:37" x14ac:dyDescent="0.2">
      <c r="A28" s="106"/>
      <c r="B28" s="107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4">
        <f>SUM(C28:H28)</f>
        <v>0</v>
      </c>
    </row>
    <row r="29" spans="1:37" x14ac:dyDescent="0.2">
      <c r="A29" s="106"/>
      <c r="B29" s="107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4">
        <f>SUM(C29:H29)</f>
        <v>0</v>
      </c>
      <c r="O29" s="47"/>
      <c r="P29" s="48"/>
    </row>
    <row r="30" spans="1:37" x14ac:dyDescent="0.2">
      <c r="A30" s="106"/>
      <c r="B30" s="107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4">
        <f>SUM(C30:H30)</f>
        <v>0</v>
      </c>
      <c r="O30" s="50"/>
      <c r="P30" s="48"/>
    </row>
    <row r="31" spans="1:37" ht="18" x14ac:dyDescent="0.2">
      <c r="A31" s="106"/>
      <c r="B31" s="107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4">
        <f>SUM(C31:H31)</f>
        <v>0</v>
      </c>
      <c r="N31" s="46"/>
      <c r="P31" s="48"/>
      <c r="AA31" s="175" t="s">
        <v>67</v>
      </c>
      <c r="AB31" s="175"/>
      <c r="AC31" s="175"/>
      <c r="AD31" s="175"/>
      <c r="AE31" s="175"/>
      <c r="AF31" s="175"/>
      <c r="AG31" s="175"/>
      <c r="AH31" s="175"/>
      <c r="AI31" s="175"/>
      <c r="AJ31" s="175"/>
    </row>
    <row r="32" spans="1:37" x14ac:dyDescent="0.2">
      <c r="A32" s="106"/>
      <c r="B32" s="107"/>
      <c r="C32" s="108"/>
      <c r="D32" s="108"/>
      <c r="E32" s="108"/>
      <c r="F32" s="108"/>
      <c r="G32" s="108"/>
      <c r="H32" s="108"/>
      <c r="I32" s="108"/>
      <c r="J32" s="108"/>
      <c r="K32" s="108"/>
      <c r="L32" s="108"/>
      <c r="M32" s="4">
        <f>SUM(C32:H32)</f>
        <v>0</v>
      </c>
      <c r="N32" s="46"/>
      <c r="P32" s="48"/>
      <c r="AB32" s="5"/>
      <c r="AC32" s="5"/>
      <c r="AD32" s="5"/>
      <c r="AE32" s="5"/>
      <c r="AF32" s="5"/>
      <c r="AG32" s="5"/>
      <c r="AH32" s="5"/>
      <c r="AI32" s="5"/>
      <c r="AJ32" s="5"/>
      <c r="AK32" s="61"/>
    </row>
    <row r="33" spans="1:37" x14ac:dyDescent="0.2">
      <c r="A33" s="106"/>
      <c r="B33" s="107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4">
        <f t="shared" si="1"/>
        <v>0</v>
      </c>
      <c r="P33" s="48"/>
      <c r="AB33" s="5"/>
      <c r="AC33" s="5"/>
      <c r="AD33" s="5"/>
      <c r="AE33" s="5"/>
      <c r="AF33" s="5"/>
      <c r="AG33" s="5"/>
      <c r="AH33" s="5"/>
      <c r="AI33" s="5"/>
      <c r="AJ33" s="5"/>
      <c r="AK33" s="62"/>
    </row>
    <row r="34" spans="1:37" x14ac:dyDescent="0.2">
      <c r="A34" s="106"/>
      <c r="B34" s="107"/>
      <c r="C34" s="108"/>
      <c r="D34" s="108"/>
      <c r="E34" s="108"/>
      <c r="F34" s="108"/>
      <c r="G34" s="108"/>
      <c r="H34" s="108"/>
      <c r="I34" s="108"/>
      <c r="J34" s="108"/>
      <c r="K34" s="108"/>
      <c r="L34" s="108"/>
      <c r="M34" s="4">
        <f t="shared" si="1"/>
        <v>0</v>
      </c>
      <c r="O34" s="47"/>
      <c r="P34" s="48"/>
      <c r="AB34" s="5"/>
      <c r="AH34" s="5"/>
      <c r="AI34" s="51"/>
      <c r="AJ34" s="51"/>
    </row>
    <row r="35" spans="1:37" ht="21" x14ac:dyDescent="0.25">
      <c r="A35" s="106"/>
      <c r="B35" s="107"/>
      <c r="C35" s="108"/>
      <c r="D35" s="108"/>
      <c r="E35" s="108"/>
      <c r="F35" s="108"/>
      <c r="G35" s="108"/>
      <c r="H35" s="108"/>
      <c r="I35" s="108"/>
      <c r="J35" s="108"/>
      <c r="K35" s="108"/>
      <c r="L35" s="108"/>
      <c r="M35" s="4">
        <f t="shared" si="1"/>
        <v>0</v>
      </c>
      <c r="O35" s="50"/>
      <c r="P35" s="48"/>
      <c r="AA35" s="5"/>
      <c r="AB35" s="5"/>
      <c r="AC35" s="102" t="s">
        <v>30</v>
      </c>
      <c r="AD35" s="102"/>
      <c r="AE35" s="49">
        <f>B101</f>
        <v>0</v>
      </c>
      <c r="AF35" s="15" t="s">
        <v>31</v>
      </c>
      <c r="AG35" s="5"/>
      <c r="AH35" s="5"/>
    </row>
    <row r="36" spans="1:37" ht="21" x14ac:dyDescent="0.25">
      <c r="A36" s="106"/>
      <c r="B36" s="107"/>
      <c r="C36" s="108"/>
      <c r="D36" s="108"/>
      <c r="E36" s="108"/>
      <c r="F36" s="108"/>
      <c r="G36" s="108"/>
      <c r="H36" s="108"/>
      <c r="I36" s="108"/>
      <c r="J36" s="108"/>
      <c r="K36" s="108"/>
      <c r="L36" s="108"/>
      <c r="M36" s="4">
        <f t="shared" si="1"/>
        <v>0</v>
      </c>
      <c r="N36" s="46"/>
      <c r="O36" s="50"/>
      <c r="P36" s="48"/>
      <c r="AA36" s="45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46"/>
      <c r="AC36" s="50"/>
      <c r="AD36" s="48"/>
      <c r="AE36" s="5"/>
      <c r="AF36" s="5"/>
      <c r="AG36" s="15"/>
      <c r="AH36" s="5"/>
    </row>
    <row r="37" spans="1:37" x14ac:dyDescent="0.2">
      <c r="A37" s="106" t="s">
        <v>101</v>
      </c>
      <c r="B37" s="107">
        <v>13.2</v>
      </c>
      <c r="C37" s="108">
        <v>100</v>
      </c>
      <c r="D37" s="108"/>
      <c r="E37" s="108"/>
      <c r="F37" s="108"/>
      <c r="G37" s="108"/>
      <c r="H37" s="108"/>
      <c r="I37" s="108"/>
      <c r="J37" s="108"/>
      <c r="K37" s="108"/>
      <c r="L37" s="108"/>
      <c r="M37" s="4">
        <f t="shared" si="1"/>
        <v>100</v>
      </c>
      <c r="N37" s="46"/>
      <c r="O37" s="50"/>
      <c r="AA37" s="123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46"/>
      <c r="AC37" s="50"/>
      <c r="AD37" s="48"/>
      <c r="AE37" s="5"/>
      <c r="AF37" s="5"/>
      <c r="AG37" s="5"/>
      <c r="AH37" s="5"/>
    </row>
    <row r="38" spans="1:37" x14ac:dyDescent="0.2">
      <c r="A38" s="6"/>
      <c r="B38" s="6"/>
      <c r="C38" s="6"/>
      <c r="D38" s="6"/>
      <c r="E38" s="6"/>
      <c r="F38" s="6"/>
      <c r="G38" s="6"/>
      <c r="H38" s="6"/>
      <c r="I38" s="35"/>
      <c r="J38" s="6"/>
      <c r="K38" s="6"/>
      <c r="L38" s="36"/>
      <c r="N38" s="46"/>
      <c r="O38" s="54"/>
      <c r="AA38" s="45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46"/>
      <c r="AC38" s="50"/>
      <c r="AD38" s="48"/>
      <c r="AI38" s="61"/>
      <c r="AJ38" s="61"/>
    </row>
    <row r="39" spans="1:37" x14ac:dyDescent="0.2">
      <c r="A39" s="130" t="s">
        <v>24</v>
      </c>
      <c r="B39" s="130" t="s">
        <v>19</v>
      </c>
      <c r="C39" s="130" t="s">
        <v>4</v>
      </c>
      <c r="D39" s="130" t="s">
        <v>5</v>
      </c>
      <c r="E39" s="130" t="s">
        <v>6</v>
      </c>
      <c r="F39" s="130" t="s">
        <v>7</v>
      </c>
      <c r="G39" s="130" t="s">
        <v>8</v>
      </c>
      <c r="H39" s="130" t="s">
        <v>9</v>
      </c>
      <c r="I39" s="131" t="s">
        <v>25</v>
      </c>
      <c r="J39" s="132" t="s">
        <v>74</v>
      </c>
      <c r="K39" s="133" t="s">
        <v>75</v>
      </c>
      <c r="L39" s="134" t="s">
        <v>49</v>
      </c>
      <c r="O39" s="50"/>
      <c r="AA39" s="46"/>
      <c r="AB39" s="46"/>
      <c r="AC39" s="54"/>
      <c r="AD39" s="48"/>
      <c r="AI39" s="61"/>
      <c r="AJ39" s="61"/>
    </row>
    <row r="40" spans="1:37" x14ac:dyDescent="0.2">
      <c r="A40" s="32" t="s">
        <v>27</v>
      </c>
      <c r="B40" s="98" t="s">
        <v>107</v>
      </c>
      <c r="C40" s="41"/>
      <c r="D40" s="41"/>
      <c r="E40" s="41"/>
      <c r="F40" s="41"/>
      <c r="G40" s="41"/>
      <c r="H40" s="41"/>
      <c r="I40" s="42"/>
      <c r="J40" s="33"/>
      <c r="K40" s="89"/>
      <c r="L40" s="14"/>
      <c r="M40" s="4">
        <f t="shared" ref="M40:M49" si="2">SUM(C40:H40)</f>
        <v>0</v>
      </c>
      <c r="O40" s="50"/>
      <c r="AA40" s="60"/>
      <c r="AI40" s="61"/>
      <c r="AJ40" s="61"/>
    </row>
    <row r="41" spans="1:37" x14ac:dyDescent="0.2">
      <c r="A41" s="106"/>
      <c r="B41" s="107"/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4">
        <f t="shared" si="2"/>
        <v>0</v>
      </c>
      <c r="O41" s="54"/>
      <c r="AA41" s="60"/>
      <c r="AI41" s="62"/>
      <c r="AJ41" s="62"/>
    </row>
    <row r="42" spans="1:37" x14ac:dyDescent="0.2">
      <c r="A42" s="106"/>
      <c r="B42" s="107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4">
        <f t="shared" si="2"/>
        <v>0</v>
      </c>
      <c r="Y42" s="103"/>
      <c r="Z42" s="103"/>
      <c r="AA42" s="104"/>
      <c r="AB42" s="103"/>
      <c r="AC42" s="103"/>
      <c r="AD42" s="103"/>
      <c r="AE42" s="103"/>
    </row>
    <row r="43" spans="1:37" x14ac:dyDescent="0.2">
      <c r="A43" s="138"/>
      <c r="B43" s="150"/>
      <c r="C43" s="139"/>
      <c r="D43" s="139"/>
      <c r="E43" s="139"/>
      <c r="F43" s="139"/>
      <c r="G43" s="139"/>
      <c r="H43" s="139"/>
      <c r="I43" s="139"/>
      <c r="J43" s="140"/>
      <c r="K43" s="141"/>
      <c r="L43" s="139"/>
      <c r="M43" s="4">
        <f t="shared" si="2"/>
        <v>0</v>
      </c>
      <c r="Y43" s="103"/>
      <c r="Z43" s="103"/>
      <c r="AA43" s="103"/>
      <c r="AB43" s="103"/>
      <c r="AC43" s="103"/>
      <c r="AD43" s="103"/>
      <c r="AE43" s="103"/>
    </row>
    <row r="44" spans="1:37" x14ac:dyDescent="0.2">
      <c r="A44" s="106"/>
      <c r="B44" s="142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4">
        <f t="shared" si="2"/>
        <v>0</v>
      </c>
      <c r="Y44" s="103"/>
      <c r="Z44" s="103"/>
      <c r="AA44" s="103"/>
      <c r="AB44" s="103"/>
      <c r="AC44" s="103"/>
      <c r="AD44" s="103"/>
      <c r="AE44" s="103"/>
    </row>
    <row r="45" spans="1:37" x14ac:dyDescent="0.2">
      <c r="A45" s="106"/>
      <c r="B45" s="142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4">
        <f t="shared" si="2"/>
        <v>0</v>
      </c>
      <c r="Y45" s="103"/>
      <c r="Z45" s="103"/>
      <c r="AA45" s="46"/>
      <c r="AB45" s="46"/>
      <c r="AC45" s="47"/>
      <c r="AD45" s="48"/>
      <c r="AE45" s="103"/>
    </row>
    <row r="46" spans="1:37" x14ac:dyDescent="0.2">
      <c r="A46" s="106"/>
      <c r="B46" s="142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4">
        <f t="shared" si="2"/>
        <v>0</v>
      </c>
      <c r="Y46" s="103"/>
      <c r="Z46" s="103"/>
      <c r="AA46" s="46"/>
      <c r="AB46" s="46"/>
      <c r="AC46" s="50"/>
      <c r="AD46" s="48"/>
      <c r="AE46" s="103"/>
    </row>
    <row r="47" spans="1:37" x14ac:dyDescent="0.2">
      <c r="A47" s="106"/>
      <c r="B47" s="142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4">
        <f t="shared" si="2"/>
        <v>0</v>
      </c>
      <c r="Y47" s="103"/>
      <c r="Z47" s="103"/>
      <c r="AA47" s="46"/>
      <c r="AB47" s="46"/>
      <c r="AC47" s="50"/>
      <c r="AD47" s="48"/>
      <c r="AE47" s="103"/>
    </row>
    <row r="48" spans="1:37" x14ac:dyDescent="0.2">
      <c r="A48" s="106"/>
      <c r="B48" s="142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4">
        <f t="shared" si="2"/>
        <v>0</v>
      </c>
      <c r="Y48" s="103"/>
      <c r="Z48" s="103"/>
      <c r="AA48" s="46"/>
      <c r="AB48" s="46"/>
      <c r="AC48" s="50"/>
      <c r="AD48" s="48"/>
      <c r="AE48" s="103"/>
    </row>
    <row r="49" spans="1:31" x14ac:dyDescent="0.2">
      <c r="A49" s="106"/>
      <c r="B49" s="142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4">
        <f t="shared" si="2"/>
        <v>0</v>
      </c>
      <c r="Y49" s="103"/>
      <c r="Z49" s="103"/>
      <c r="AA49" s="46"/>
      <c r="AB49" s="46"/>
      <c r="AC49" s="54"/>
      <c r="AD49" s="48"/>
      <c r="AE49" s="103"/>
    </row>
    <row r="50" spans="1:31" x14ac:dyDescent="0.2">
      <c r="A50" s="2"/>
      <c r="B50" s="2"/>
      <c r="C50" s="2"/>
      <c r="D50" s="2"/>
      <c r="E50" s="2"/>
      <c r="F50" s="2"/>
      <c r="G50" s="2"/>
      <c r="H50" s="2"/>
      <c r="I50" s="52"/>
      <c r="J50" s="7"/>
      <c r="K50" s="7"/>
      <c r="L50" s="53"/>
      <c r="Y50" s="103"/>
      <c r="Z50" s="103"/>
      <c r="AA50" s="46"/>
      <c r="AB50" s="46"/>
      <c r="AC50" s="54"/>
      <c r="AD50" s="48"/>
      <c r="AE50" s="103"/>
    </row>
    <row r="51" spans="1:31" x14ac:dyDescent="0.2">
      <c r="A51" s="55" t="s">
        <v>32</v>
      </c>
      <c r="B51" s="6"/>
      <c r="C51" s="55" t="s">
        <v>32</v>
      </c>
      <c r="D51" s="55" t="s">
        <v>32</v>
      </c>
      <c r="E51" s="6"/>
      <c r="F51" s="6"/>
      <c r="G51" s="6"/>
      <c r="H51" s="6"/>
      <c r="I51" s="35"/>
      <c r="J51" s="6"/>
      <c r="K51" s="6"/>
      <c r="L51" s="56"/>
      <c r="Y51" s="103"/>
      <c r="Z51" s="103"/>
      <c r="AA51" s="46"/>
      <c r="AB51" s="46"/>
      <c r="AC51" s="54"/>
      <c r="AD51" s="48"/>
      <c r="AE51" s="103"/>
    </row>
    <row r="52" spans="1:31" x14ac:dyDescent="0.2">
      <c r="A52" s="9" t="s">
        <v>2</v>
      </c>
      <c r="B52" s="9" t="s">
        <v>33</v>
      </c>
      <c r="C52" s="9" t="s">
        <v>4</v>
      </c>
      <c r="D52" s="9" t="s">
        <v>5</v>
      </c>
      <c r="E52" s="9" t="s">
        <v>6</v>
      </c>
      <c r="F52" s="9" t="s">
        <v>7</v>
      </c>
      <c r="G52" s="9" t="s">
        <v>8</v>
      </c>
      <c r="H52" s="9" t="s">
        <v>9</v>
      </c>
      <c r="I52" s="10" t="s">
        <v>25</v>
      </c>
      <c r="J52" s="11" t="s">
        <v>11</v>
      </c>
      <c r="K52" s="12" t="s">
        <v>12</v>
      </c>
      <c r="L52" s="13" t="s">
        <v>13</v>
      </c>
      <c r="Y52" s="103"/>
      <c r="Z52" s="103"/>
      <c r="AA52" s="46"/>
      <c r="AB52" s="46"/>
      <c r="AC52" s="47"/>
      <c r="AD52" s="48"/>
      <c r="AE52" s="103"/>
    </row>
    <row r="53" spans="1:31" x14ac:dyDescent="0.2">
      <c r="A53" s="106" t="str">
        <f>IF(A8="","",A8)</f>
        <v>KH1 上白糖</v>
      </c>
      <c r="B53" s="143">
        <f>IF(B8="","",B8)</f>
        <v>30</v>
      </c>
      <c r="C53" s="57">
        <f>C8*B53/100</f>
        <v>0.21</v>
      </c>
      <c r="D53" s="57">
        <f>D8*B53/100</f>
        <v>0</v>
      </c>
      <c r="E53" s="57">
        <f>E8*B53/100</f>
        <v>0</v>
      </c>
      <c r="F53" s="57">
        <f>F8*B53/100</f>
        <v>29.79</v>
      </c>
      <c r="G53" s="57">
        <f>G8*B53/100</f>
        <v>0</v>
      </c>
      <c r="H53" s="57">
        <f>H8*B53/100</f>
        <v>0</v>
      </c>
      <c r="I53" s="58">
        <f>I8*B53/100</f>
        <v>0.3</v>
      </c>
      <c r="J53" s="58">
        <f>J8*B53/100</f>
        <v>0</v>
      </c>
      <c r="K53" s="58">
        <f>K8*B53/100</f>
        <v>0</v>
      </c>
      <c r="L53" s="59">
        <f>L8*B53/100</f>
        <v>0</v>
      </c>
      <c r="Y53" s="103"/>
      <c r="Z53" s="103"/>
      <c r="AA53" s="103"/>
      <c r="AB53" s="103"/>
      <c r="AC53" s="103"/>
      <c r="AD53" s="103"/>
      <c r="AE53" s="103"/>
    </row>
    <row r="54" spans="1:31" x14ac:dyDescent="0.2">
      <c r="A54" s="106" t="str">
        <f t="shared" ref="A54:B69" si="3">IF(A9="","",A9)</f>
        <v>ﾊｲﾄﾗｲ700</v>
      </c>
      <c r="B54" s="143">
        <f t="shared" si="3"/>
        <v>0.3</v>
      </c>
      <c r="C54" s="57">
        <f t="shared" ref="C54:C81" si="4">C9*B54/100</f>
        <v>1.14E-3</v>
      </c>
      <c r="D54" s="57">
        <f t="shared" ref="D54:D82" si="5">D9*B54/100</f>
        <v>8.9999999999999992E-5</v>
      </c>
      <c r="E54" s="57">
        <f t="shared" ref="E54:E82" si="6">E9*B54/100</f>
        <v>1.9500000000000001E-3</v>
      </c>
      <c r="F54" s="57">
        <f t="shared" ref="F54:F82" si="7">F9*B54/100</f>
        <v>0.16122</v>
      </c>
      <c r="G54" s="57">
        <f t="shared" ref="G54:G82" si="8">G9*B54/100</f>
        <v>0</v>
      </c>
      <c r="H54" s="57">
        <f t="shared" ref="H54:H82" si="9">H9*B54/100</f>
        <v>0.1356</v>
      </c>
      <c r="I54" s="58">
        <f t="shared" ref="I54:I82" si="10">I9*B54/100</f>
        <v>58.8</v>
      </c>
      <c r="J54" s="58">
        <f t="shared" ref="J54:J82" si="11">J9*B54/100</f>
        <v>0</v>
      </c>
      <c r="K54" s="58">
        <f t="shared" ref="K54:K82" si="12">K9*B54/100</f>
        <v>1.5E-3</v>
      </c>
      <c r="L54" s="59">
        <f t="shared" ref="L54:L82" si="13">L9*B54/100</f>
        <v>0</v>
      </c>
      <c r="Y54" s="103"/>
      <c r="Z54" s="103"/>
      <c r="AA54" s="103"/>
      <c r="AB54" s="103"/>
      <c r="AC54" s="103"/>
      <c r="AD54" s="103"/>
      <c r="AE54" s="103"/>
    </row>
    <row r="55" spans="1:31" x14ac:dyDescent="0.2">
      <c r="A55" s="106" t="str">
        <f t="shared" si="3"/>
        <v>ｶﾈｶﾏｰｶﾞﾘﾝSD</v>
      </c>
      <c r="B55" s="143">
        <f t="shared" si="3"/>
        <v>30</v>
      </c>
      <c r="C55" s="57">
        <f t="shared" si="4"/>
        <v>4.95</v>
      </c>
      <c r="D55" s="57">
        <f t="shared" si="5"/>
        <v>0</v>
      </c>
      <c r="E55" s="57">
        <f t="shared" si="6"/>
        <v>24.96</v>
      </c>
      <c r="F55" s="57">
        <f t="shared" si="7"/>
        <v>0</v>
      </c>
      <c r="G55" s="57">
        <f t="shared" si="8"/>
        <v>0</v>
      </c>
      <c r="H55" s="57">
        <f t="shared" si="9"/>
        <v>0.09</v>
      </c>
      <c r="I55" s="58">
        <f t="shared" si="10"/>
        <v>35.4</v>
      </c>
      <c r="J55" s="58">
        <f t="shared" si="11"/>
        <v>0.24</v>
      </c>
      <c r="K55" s="58">
        <f t="shared" si="12"/>
        <v>9.33</v>
      </c>
      <c r="L55" s="59">
        <f t="shared" si="13"/>
        <v>0.3</v>
      </c>
    </row>
    <row r="56" spans="1:31" x14ac:dyDescent="0.2">
      <c r="A56" s="106" t="str">
        <f t="shared" si="3"/>
        <v>加工液全卵(殺菌)</v>
      </c>
      <c r="B56" s="143">
        <f t="shared" si="3"/>
        <v>18</v>
      </c>
      <c r="C56" s="57">
        <f t="shared" si="4"/>
        <v>14.958</v>
      </c>
      <c r="D56" s="57">
        <f t="shared" si="5"/>
        <v>1.7279999999999998</v>
      </c>
      <c r="E56" s="57">
        <f t="shared" si="6"/>
        <v>0.97199999999999998</v>
      </c>
      <c r="F56" s="57">
        <f t="shared" si="7"/>
        <v>7.2000000000000008E-2</v>
      </c>
      <c r="G56" s="57">
        <f t="shared" si="8"/>
        <v>0</v>
      </c>
      <c r="H56" s="57">
        <f t="shared" si="9"/>
        <v>0.126</v>
      </c>
      <c r="I56" s="58">
        <f t="shared" si="10"/>
        <v>23.4</v>
      </c>
      <c r="J56" s="58">
        <f t="shared" si="11"/>
        <v>0</v>
      </c>
      <c r="K56" s="58">
        <f t="shared" si="12"/>
        <v>0.29699999999999999</v>
      </c>
      <c r="L56" s="59">
        <f t="shared" si="13"/>
        <v>35.28</v>
      </c>
    </row>
    <row r="57" spans="1:31" x14ac:dyDescent="0.2">
      <c r="A57" s="106" t="str">
        <f t="shared" si="3"/>
        <v>ｶﾗﾒﾙ2M-25</v>
      </c>
      <c r="B57" s="143">
        <f t="shared" si="3"/>
        <v>1</v>
      </c>
      <c r="C57" s="57">
        <f t="shared" si="4"/>
        <v>0.35100000000000003</v>
      </c>
      <c r="D57" s="57">
        <f t="shared" si="5"/>
        <v>0</v>
      </c>
      <c r="E57" s="57">
        <f t="shared" si="6"/>
        <v>0</v>
      </c>
      <c r="F57" s="57">
        <f t="shared" si="7"/>
        <v>0.47899999999999998</v>
      </c>
      <c r="G57" s="57">
        <f t="shared" si="8"/>
        <v>0.13500000000000001</v>
      </c>
      <c r="H57" s="57">
        <f t="shared" si="9"/>
        <v>3.5000000000000003E-2</v>
      </c>
      <c r="I57" s="58">
        <f t="shared" si="10"/>
        <v>14.61</v>
      </c>
      <c r="J57" s="58">
        <f t="shared" si="11"/>
        <v>0</v>
      </c>
      <c r="K57" s="58">
        <f t="shared" si="12"/>
        <v>0</v>
      </c>
      <c r="L57" s="59">
        <f t="shared" si="13"/>
        <v>0</v>
      </c>
    </row>
    <row r="58" spans="1:31" x14ac:dyDescent="0.2">
      <c r="A58" s="106" t="str">
        <f t="shared" si="3"/>
        <v>FKT薄力粉</v>
      </c>
      <c r="B58" s="143">
        <f t="shared" si="3"/>
        <v>90</v>
      </c>
      <c r="C58" s="57">
        <f t="shared" si="4"/>
        <v>13.05</v>
      </c>
      <c r="D58" s="57">
        <f t="shared" si="5"/>
        <v>7.2</v>
      </c>
      <c r="E58" s="57">
        <f t="shared" si="6"/>
        <v>1.35</v>
      </c>
      <c r="F58" s="57">
        <f t="shared" si="7"/>
        <v>65.789999999999992</v>
      </c>
      <c r="G58" s="57">
        <f t="shared" si="8"/>
        <v>2.25</v>
      </c>
      <c r="H58" s="57">
        <f t="shared" si="9"/>
        <v>0.36</v>
      </c>
      <c r="I58" s="58">
        <f t="shared" si="10"/>
        <v>0</v>
      </c>
      <c r="J58" s="58">
        <f t="shared" si="11"/>
        <v>0</v>
      </c>
      <c r="K58" s="58">
        <f t="shared" si="12"/>
        <v>0.30599999999999999</v>
      </c>
      <c r="L58" s="59">
        <f t="shared" si="13"/>
        <v>0</v>
      </c>
      <c r="AA58" s="91"/>
    </row>
    <row r="59" spans="1:31" x14ac:dyDescent="0.2">
      <c r="A59" s="106" t="str">
        <f t="shared" si="3"/>
        <v>FT強力粉 25kg</v>
      </c>
      <c r="B59" s="143">
        <f t="shared" si="3"/>
        <v>10</v>
      </c>
      <c r="C59" s="57">
        <f t="shared" si="4"/>
        <v>1.44</v>
      </c>
      <c r="D59" s="57">
        <f t="shared" si="5"/>
        <v>1.27</v>
      </c>
      <c r="E59" s="57">
        <f t="shared" si="6"/>
        <v>0.17</v>
      </c>
      <c r="F59" s="57">
        <f t="shared" si="7"/>
        <v>6.8610000000000007</v>
      </c>
      <c r="G59" s="57">
        <f t="shared" si="8"/>
        <v>0.21</v>
      </c>
      <c r="H59" s="57">
        <f t="shared" si="9"/>
        <v>4.9000000000000002E-2</v>
      </c>
      <c r="I59" s="58">
        <f t="shared" si="10"/>
        <v>0</v>
      </c>
      <c r="J59" s="58">
        <f t="shared" si="11"/>
        <v>0</v>
      </c>
      <c r="K59" s="58">
        <f t="shared" si="12"/>
        <v>3.9000000000000007E-2</v>
      </c>
      <c r="L59" s="59">
        <f t="shared" si="13"/>
        <v>0</v>
      </c>
      <c r="AA59" s="45"/>
    </row>
    <row r="60" spans="1:31" x14ac:dyDescent="0.2">
      <c r="A60" s="106" t="str">
        <f t="shared" si="3"/>
        <v/>
      </c>
      <c r="B60" s="143" t="str">
        <f t="shared" si="3"/>
        <v/>
      </c>
      <c r="C60" s="57">
        <f t="shared" si="4"/>
        <v>0</v>
      </c>
      <c r="D60" s="57">
        <f t="shared" si="5"/>
        <v>0</v>
      </c>
      <c r="E60" s="57">
        <f t="shared" si="6"/>
        <v>0</v>
      </c>
      <c r="F60" s="57">
        <f t="shared" si="7"/>
        <v>0</v>
      </c>
      <c r="G60" s="57">
        <f t="shared" si="8"/>
        <v>0</v>
      </c>
      <c r="H60" s="57">
        <f t="shared" si="9"/>
        <v>0</v>
      </c>
      <c r="I60" s="58">
        <f t="shared" si="10"/>
        <v>0</v>
      </c>
      <c r="J60" s="58">
        <f t="shared" si="11"/>
        <v>0</v>
      </c>
      <c r="K60" s="58">
        <f t="shared" si="12"/>
        <v>0</v>
      </c>
      <c r="L60" s="59">
        <f t="shared" si="13"/>
        <v>0</v>
      </c>
      <c r="AA60" s="94" t="s">
        <v>43</v>
      </c>
    </row>
    <row r="61" spans="1:31" x14ac:dyDescent="0.2">
      <c r="A61" s="106" t="str">
        <f t="shared" si="3"/>
        <v/>
      </c>
      <c r="B61" s="143" t="str">
        <f t="shared" si="3"/>
        <v/>
      </c>
      <c r="C61" s="57">
        <f t="shared" si="4"/>
        <v>0</v>
      </c>
      <c r="D61" s="57">
        <f t="shared" si="5"/>
        <v>0</v>
      </c>
      <c r="E61" s="57">
        <f t="shared" si="6"/>
        <v>0</v>
      </c>
      <c r="F61" s="57">
        <f t="shared" si="7"/>
        <v>0</v>
      </c>
      <c r="G61" s="57">
        <f t="shared" si="8"/>
        <v>0</v>
      </c>
      <c r="H61" s="57">
        <f t="shared" si="9"/>
        <v>0</v>
      </c>
      <c r="I61" s="58">
        <f t="shared" si="10"/>
        <v>0</v>
      </c>
      <c r="J61" s="58">
        <f t="shared" si="11"/>
        <v>0</v>
      </c>
      <c r="K61" s="58">
        <f t="shared" si="12"/>
        <v>0</v>
      </c>
      <c r="L61" s="59">
        <f t="shared" si="13"/>
        <v>0</v>
      </c>
      <c r="AA61" s="124" t="s">
        <v>53</v>
      </c>
    </row>
    <row r="62" spans="1:31" x14ac:dyDescent="0.2">
      <c r="A62" s="106" t="str">
        <f t="shared" si="3"/>
        <v/>
      </c>
      <c r="B62" s="143" t="str">
        <f t="shared" si="3"/>
        <v/>
      </c>
      <c r="C62" s="57">
        <f t="shared" si="4"/>
        <v>0</v>
      </c>
      <c r="D62" s="57">
        <f t="shared" si="5"/>
        <v>0</v>
      </c>
      <c r="E62" s="57">
        <f t="shared" si="6"/>
        <v>0</v>
      </c>
      <c r="F62" s="57">
        <f t="shared" si="7"/>
        <v>0</v>
      </c>
      <c r="G62" s="57">
        <f t="shared" si="8"/>
        <v>0</v>
      </c>
      <c r="H62" s="57">
        <f t="shared" si="9"/>
        <v>0</v>
      </c>
      <c r="I62" s="58">
        <f t="shared" si="10"/>
        <v>0</v>
      </c>
      <c r="J62" s="58">
        <f t="shared" si="11"/>
        <v>0</v>
      </c>
      <c r="K62" s="58">
        <f t="shared" si="12"/>
        <v>0</v>
      </c>
      <c r="L62" s="59">
        <f t="shared" si="13"/>
        <v>0</v>
      </c>
      <c r="AA62" s="95" t="s">
        <v>54</v>
      </c>
    </row>
    <row r="63" spans="1:31" x14ac:dyDescent="0.2">
      <c r="A63" s="106" t="str">
        <f t="shared" si="3"/>
        <v/>
      </c>
      <c r="B63" s="143" t="str">
        <f t="shared" si="3"/>
        <v/>
      </c>
      <c r="C63" s="57">
        <f t="shared" si="4"/>
        <v>0</v>
      </c>
      <c r="D63" s="57">
        <f t="shared" si="5"/>
        <v>0</v>
      </c>
      <c r="E63" s="57">
        <f t="shared" si="6"/>
        <v>0</v>
      </c>
      <c r="F63" s="57">
        <f t="shared" si="7"/>
        <v>0</v>
      </c>
      <c r="G63" s="57">
        <f t="shared" si="8"/>
        <v>0</v>
      </c>
      <c r="H63" s="57">
        <f t="shared" si="9"/>
        <v>0</v>
      </c>
      <c r="I63" s="58">
        <f t="shared" si="10"/>
        <v>0</v>
      </c>
      <c r="J63" s="58">
        <f t="shared" si="11"/>
        <v>0</v>
      </c>
      <c r="K63" s="58">
        <f t="shared" si="12"/>
        <v>0</v>
      </c>
      <c r="L63" s="59">
        <f t="shared" si="13"/>
        <v>0</v>
      </c>
    </row>
    <row r="64" spans="1:31" x14ac:dyDescent="0.2">
      <c r="A64" s="106" t="str">
        <f t="shared" si="3"/>
        <v/>
      </c>
      <c r="B64" s="143" t="str">
        <f t="shared" si="3"/>
        <v/>
      </c>
      <c r="C64" s="57">
        <f t="shared" si="4"/>
        <v>0</v>
      </c>
      <c r="D64" s="57">
        <f t="shared" si="5"/>
        <v>0</v>
      </c>
      <c r="E64" s="57">
        <f t="shared" si="6"/>
        <v>0</v>
      </c>
      <c r="F64" s="57">
        <f t="shared" si="7"/>
        <v>0</v>
      </c>
      <c r="G64" s="57">
        <f t="shared" si="8"/>
        <v>0</v>
      </c>
      <c r="H64" s="57">
        <f t="shared" si="9"/>
        <v>0</v>
      </c>
      <c r="I64" s="58">
        <f t="shared" si="10"/>
        <v>0</v>
      </c>
      <c r="J64" s="58">
        <f t="shared" si="11"/>
        <v>0</v>
      </c>
      <c r="K64" s="58">
        <f t="shared" si="12"/>
        <v>0</v>
      </c>
      <c r="L64" s="59">
        <f t="shared" si="13"/>
        <v>0</v>
      </c>
    </row>
    <row r="65" spans="1:27" x14ac:dyDescent="0.2">
      <c r="A65" s="106" t="str">
        <f t="shared" si="3"/>
        <v/>
      </c>
      <c r="B65" s="143" t="str">
        <f t="shared" si="3"/>
        <v/>
      </c>
      <c r="C65" s="57">
        <f t="shared" si="4"/>
        <v>0</v>
      </c>
      <c r="D65" s="57">
        <f t="shared" si="5"/>
        <v>0</v>
      </c>
      <c r="E65" s="57">
        <f t="shared" si="6"/>
        <v>0</v>
      </c>
      <c r="F65" s="57">
        <f t="shared" si="7"/>
        <v>0</v>
      </c>
      <c r="G65" s="57">
        <f t="shared" si="8"/>
        <v>0</v>
      </c>
      <c r="H65" s="57">
        <f t="shared" si="9"/>
        <v>0</v>
      </c>
      <c r="I65" s="58">
        <f t="shared" si="10"/>
        <v>0</v>
      </c>
      <c r="J65" s="58">
        <f t="shared" si="11"/>
        <v>0</v>
      </c>
      <c r="K65" s="58">
        <f t="shared" si="12"/>
        <v>0</v>
      </c>
      <c r="L65" s="59">
        <f t="shared" si="13"/>
        <v>0</v>
      </c>
    </row>
    <row r="66" spans="1:27" x14ac:dyDescent="0.2">
      <c r="A66" s="106" t="str">
        <f t="shared" si="3"/>
        <v/>
      </c>
      <c r="B66" s="143" t="str">
        <f t="shared" si="3"/>
        <v/>
      </c>
      <c r="C66" s="57">
        <f t="shared" si="4"/>
        <v>0</v>
      </c>
      <c r="D66" s="57">
        <f t="shared" si="5"/>
        <v>0</v>
      </c>
      <c r="E66" s="57">
        <f t="shared" si="6"/>
        <v>0</v>
      </c>
      <c r="F66" s="57">
        <f t="shared" si="7"/>
        <v>0</v>
      </c>
      <c r="G66" s="57">
        <f t="shared" si="8"/>
        <v>0</v>
      </c>
      <c r="H66" s="57">
        <f t="shared" si="9"/>
        <v>0</v>
      </c>
      <c r="I66" s="58">
        <f t="shared" si="10"/>
        <v>0</v>
      </c>
      <c r="J66" s="58">
        <f t="shared" si="11"/>
        <v>0</v>
      </c>
      <c r="K66" s="58">
        <f t="shared" si="12"/>
        <v>0</v>
      </c>
      <c r="L66" s="59">
        <f t="shared" si="13"/>
        <v>0</v>
      </c>
    </row>
    <row r="67" spans="1:27" x14ac:dyDescent="0.2">
      <c r="A67" s="106" t="str">
        <f t="shared" si="3"/>
        <v/>
      </c>
      <c r="B67" s="143" t="str">
        <f t="shared" si="3"/>
        <v/>
      </c>
      <c r="C67" s="57">
        <f t="shared" si="4"/>
        <v>0</v>
      </c>
      <c r="D67" s="57">
        <f t="shared" si="5"/>
        <v>0</v>
      </c>
      <c r="E67" s="57">
        <f t="shared" si="6"/>
        <v>0</v>
      </c>
      <c r="F67" s="57">
        <f t="shared" si="7"/>
        <v>0</v>
      </c>
      <c r="G67" s="57">
        <f t="shared" si="8"/>
        <v>0</v>
      </c>
      <c r="H67" s="57">
        <f t="shared" si="9"/>
        <v>0</v>
      </c>
      <c r="I67" s="58">
        <f t="shared" si="10"/>
        <v>0</v>
      </c>
      <c r="J67" s="58">
        <f t="shared" si="11"/>
        <v>0</v>
      </c>
      <c r="K67" s="58">
        <f t="shared" si="12"/>
        <v>0</v>
      </c>
      <c r="L67" s="59">
        <f t="shared" si="13"/>
        <v>0</v>
      </c>
    </row>
    <row r="68" spans="1:27" x14ac:dyDescent="0.2">
      <c r="A68" s="106" t="str">
        <f t="shared" si="3"/>
        <v/>
      </c>
      <c r="B68" s="143" t="str">
        <f t="shared" si="3"/>
        <v/>
      </c>
      <c r="C68" s="57">
        <f t="shared" si="4"/>
        <v>0</v>
      </c>
      <c r="D68" s="57">
        <f t="shared" si="5"/>
        <v>0</v>
      </c>
      <c r="E68" s="57">
        <f t="shared" si="6"/>
        <v>0</v>
      </c>
      <c r="F68" s="57">
        <f t="shared" si="7"/>
        <v>0</v>
      </c>
      <c r="G68" s="57">
        <f t="shared" si="8"/>
        <v>0</v>
      </c>
      <c r="H68" s="57">
        <f t="shared" si="9"/>
        <v>0</v>
      </c>
      <c r="I68" s="58">
        <f t="shared" si="10"/>
        <v>0</v>
      </c>
      <c r="J68" s="58">
        <f t="shared" si="11"/>
        <v>0</v>
      </c>
      <c r="K68" s="58">
        <f t="shared" si="12"/>
        <v>0</v>
      </c>
      <c r="L68" s="59">
        <f t="shared" si="13"/>
        <v>0</v>
      </c>
    </row>
    <row r="69" spans="1:27" ht="18" x14ac:dyDescent="0.35">
      <c r="A69" s="106" t="str">
        <f t="shared" si="3"/>
        <v/>
      </c>
      <c r="B69" s="143" t="str">
        <f t="shared" si="3"/>
        <v/>
      </c>
      <c r="C69" s="57">
        <f t="shared" si="4"/>
        <v>0</v>
      </c>
      <c r="D69" s="57">
        <f t="shared" si="5"/>
        <v>0</v>
      </c>
      <c r="E69" s="57">
        <f t="shared" si="6"/>
        <v>0</v>
      </c>
      <c r="F69" s="57">
        <f t="shared" si="7"/>
        <v>0</v>
      </c>
      <c r="G69" s="57">
        <f t="shared" si="8"/>
        <v>0</v>
      </c>
      <c r="H69" s="57">
        <f t="shared" si="9"/>
        <v>0</v>
      </c>
      <c r="I69" s="58">
        <f t="shared" si="10"/>
        <v>0</v>
      </c>
      <c r="J69" s="58">
        <f t="shared" si="11"/>
        <v>0</v>
      </c>
      <c r="K69" s="58">
        <f t="shared" si="12"/>
        <v>0</v>
      </c>
      <c r="L69" s="59">
        <f t="shared" si="13"/>
        <v>0</v>
      </c>
      <c r="AA69" s="96" t="s">
        <v>44</v>
      </c>
    </row>
    <row r="70" spans="1:27" x14ac:dyDescent="0.2">
      <c r="A70" s="106" t="str">
        <f t="shared" ref="A70:B82" si="14">IF(A25="","",A25)</f>
        <v/>
      </c>
      <c r="B70" s="143" t="str">
        <f t="shared" si="14"/>
        <v/>
      </c>
      <c r="C70" s="57">
        <f t="shared" si="4"/>
        <v>0</v>
      </c>
      <c r="D70" s="57">
        <f t="shared" si="5"/>
        <v>0</v>
      </c>
      <c r="E70" s="57">
        <f t="shared" si="6"/>
        <v>0</v>
      </c>
      <c r="F70" s="57">
        <f t="shared" si="7"/>
        <v>0</v>
      </c>
      <c r="G70" s="57">
        <f t="shared" si="8"/>
        <v>0</v>
      </c>
      <c r="H70" s="57">
        <f t="shared" si="9"/>
        <v>0</v>
      </c>
      <c r="I70" s="58">
        <f t="shared" si="10"/>
        <v>0</v>
      </c>
      <c r="J70" s="58">
        <f t="shared" si="11"/>
        <v>0</v>
      </c>
      <c r="K70" s="58">
        <f t="shared" si="12"/>
        <v>0</v>
      </c>
      <c r="L70" s="59">
        <f t="shared" si="13"/>
        <v>0</v>
      </c>
      <c r="AA70" s="97" t="s">
        <v>62</v>
      </c>
    </row>
    <row r="71" spans="1:27" x14ac:dyDescent="0.2">
      <c r="A71" s="106" t="str">
        <f t="shared" si="14"/>
        <v/>
      </c>
      <c r="B71" s="143" t="str">
        <f t="shared" si="14"/>
        <v/>
      </c>
      <c r="C71" s="57">
        <f t="shared" si="4"/>
        <v>0</v>
      </c>
      <c r="D71" s="57">
        <f t="shared" si="5"/>
        <v>0</v>
      </c>
      <c r="E71" s="57">
        <f t="shared" si="6"/>
        <v>0</v>
      </c>
      <c r="F71" s="57">
        <f t="shared" si="7"/>
        <v>0</v>
      </c>
      <c r="G71" s="57">
        <f t="shared" si="8"/>
        <v>0</v>
      </c>
      <c r="H71" s="57">
        <f t="shared" si="9"/>
        <v>0</v>
      </c>
      <c r="I71" s="58">
        <f t="shared" si="10"/>
        <v>0</v>
      </c>
      <c r="J71" s="58">
        <f t="shared" si="11"/>
        <v>0</v>
      </c>
      <c r="K71" s="58">
        <f t="shared" si="12"/>
        <v>0</v>
      </c>
      <c r="L71" s="59">
        <f t="shared" si="13"/>
        <v>0</v>
      </c>
      <c r="AA71" s="97" t="s">
        <v>55</v>
      </c>
    </row>
    <row r="72" spans="1:27" x14ac:dyDescent="0.2">
      <c r="A72" s="106" t="str">
        <f t="shared" si="14"/>
        <v/>
      </c>
      <c r="B72" s="143" t="str">
        <f t="shared" si="14"/>
        <v/>
      </c>
      <c r="C72" s="57">
        <f t="shared" si="4"/>
        <v>0</v>
      </c>
      <c r="D72" s="57">
        <f t="shared" si="5"/>
        <v>0</v>
      </c>
      <c r="E72" s="57">
        <f t="shared" si="6"/>
        <v>0</v>
      </c>
      <c r="F72" s="57">
        <f t="shared" si="7"/>
        <v>0</v>
      </c>
      <c r="G72" s="57">
        <f t="shared" si="8"/>
        <v>0</v>
      </c>
      <c r="H72" s="57">
        <f t="shared" si="9"/>
        <v>0</v>
      </c>
      <c r="I72" s="58">
        <f t="shared" si="10"/>
        <v>0</v>
      </c>
      <c r="J72" s="58">
        <f t="shared" si="11"/>
        <v>0</v>
      </c>
      <c r="K72" s="58">
        <f t="shared" si="12"/>
        <v>0</v>
      </c>
      <c r="L72" s="59">
        <f t="shared" si="13"/>
        <v>0</v>
      </c>
      <c r="S72" s="159"/>
      <c r="AA72" s="97" t="s">
        <v>56</v>
      </c>
    </row>
    <row r="73" spans="1:27" x14ac:dyDescent="0.2">
      <c r="A73" s="106" t="str">
        <f t="shared" si="14"/>
        <v/>
      </c>
      <c r="B73" s="143" t="str">
        <f t="shared" si="14"/>
        <v/>
      </c>
      <c r="C73" s="57">
        <f t="shared" si="4"/>
        <v>0</v>
      </c>
      <c r="D73" s="57">
        <f t="shared" si="5"/>
        <v>0</v>
      </c>
      <c r="E73" s="57">
        <f t="shared" si="6"/>
        <v>0</v>
      </c>
      <c r="F73" s="57">
        <f t="shared" si="7"/>
        <v>0</v>
      </c>
      <c r="G73" s="57">
        <f t="shared" si="8"/>
        <v>0</v>
      </c>
      <c r="H73" s="57">
        <f t="shared" si="9"/>
        <v>0</v>
      </c>
      <c r="I73" s="58">
        <f t="shared" si="10"/>
        <v>0</v>
      </c>
      <c r="J73" s="58">
        <f t="shared" si="11"/>
        <v>0</v>
      </c>
      <c r="K73" s="58">
        <f t="shared" si="12"/>
        <v>0</v>
      </c>
      <c r="L73" s="59">
        <f t="shared" si="13"/>
        <v>0</v>
      </c>
      <c r="AA73" s="97" t="s">
        <v>57</v>
      </c>
    </row>
    <row r="74" spans="1:27" x14ac:dyDescent="0.2">
      <c r="A74" s="106" t="str">
        <f t="shared" si="14"/>
        <v/>
      </c>
      <c r="B74" s="143" t="str">
        <f t="shared" si="14"/>
        <v/>
      </c>
      <c r="C74" s="57">
        <f t="shared" si="4"/>
        <v>0</v>
      </c>
      <c r="D74" s="57">
        <f t="shared" si="5"/>
        <v>0</v>
      </c>
      <c r="E74" s="57">
        <f t="shared" si="6"/>
        <v>0</v>
      </c>
      <c r="F74" s="57">
        <f t="shared" si="7"/>
        <v>0</v>
      </c>
      <c r="G74" s="57">
        <f t="shared" si="8"/>
        <v>0</v>
      </c>
      <c r="H74" s="57">
        <f t="shared" si="9"/>
        <v>0</v>
      </c>
      <c r="I74" s="58">
        <f t="shared" si="10"/>
        <v>0</v>
      </c>
      <c r="J74" s="58">
        <f t="shared" si="11"/>
        <v>0</v>
      </c>
      <c r="K74" s="58">
        <f t="shared" si="12"/>
        <v>0</v>
      </c>
      <c r="L74" s="59">
        <f t="shared" si="13"/>
        <v>0</v>
      </c>
      <c r="AA74" s="97" t="s">
        <v>58</v>
      </c>
    </row>
    <row r="75" spans="1:27" x14ac:dyDescent="0.2">
      <c r="A75" s="106" t="str">
        <f t="shared" si="14"/>
        <v/>
      </c>
      <c r="B75" s="143" t="str">
        <f t="shared" si="14"/>
        <v/>
      </c>
      <c r="C75" s="57">
        <f t="shared" si="4"/>
        <v>0</v>
      </c>
      <c r="D75" s="57">
        <f t="shared" si="5"/>
        <v>0</v>
      </c>
      <c r="E75" s="57">
        <f t="shared" si="6"/>
        <v>0</v>
      </c>
      <c r="F75" s="57">
        <f t="shared" si="7"/>
        <v>0</v>
      </c>
      <c r="G75" s="57">
        <f t="shared" si="8"/>
        <v>0</v>
      </c>
      <c r="H75" s="57">
        <f t="shared" si="9"/>
        <v>0</v>
      </c>
      <c r="I75" s="58">
        <f t="shared" si="10"/>
        <v>0</v>
      </c>
      <c r="J75" s="58">
        <f t="shared" si="11"/>
        <v>0</v>
      </c>
      <c r="K75" s="58">
        <f t="shared" si="12"/>
        <v>0</v>
      </c>
      <c r="L75" s="59">
        <f t="shared" si="13"/>
        <v>0</v>
      </c>
    </row>
    <row r="76" spans="1:27" x14ac:dyDescent="0.2">
      <c r="A76" s="106" t="str">
        <f t="shared" si="14"/>
        <v/>
      </c>
      <c r="B76" s="143" t="str">
        <f t="shared" si="14"/>
        <v/>
      </c>
      <c r="C76" s="57">
        <f t="shared" si="4"/>
        <v>0</v>
      </c>
      <c r="D76" s="57">
        <f t="shared" si="5"/>
        <v>0</v>
      </c>
      <c r="E76" s="57">
        <f t="shared" si="6"/>
        <v>0</v>
      </c>
      <c r="F76" s="57">
        <f t="shared" si="7"/>
        <v>0</v>
      </c>
      <c r="G76" s="57">
        <f t="shared" si="8"/>
        <v>0</v>
      </c>
      <c r="H76" s="57">
        <f t="shared" si="9"/>
        <v>0</v>
      </c>
      <c r="I76" s="58">
        <f t="shared" si="10"/>
        <v>0</v>
      </c>
      <c r="J76" s="58">
        <f t="shared" si="11"/>
        <v>0</v>
      </c>
      <c r="K76" s="58">
        <f t="shared" si="12"/>
        <v>0</v>
      </c>
      <c r="L76" s="59">
        <f t="shared" si="13"/>
        <v>0</v>
      </c>
    </row>
    <row r="77" spans="1:27" x14ac:dyDescent="0.2">
      <c r="A77" s="106" t="str">
        <f t="shared" si="14"/>
        <v/>
      </c>
      <c r="B77" s="143" t="str">
        <f t="shared" si="14"/>
        <v/>
      </c>
      <c r="C77" s="57">
        <f t="shared" si="4"/>
        <v>0</v>
      </c>
      <c r="D77" s="57">
        <f t="shared" si="5"/>
        <v>0</v>
      </c>
      <c r="E77" s="57">
        <f t="shared" si="6"/>
        <v>0</v>
      </c>
      <c r="F77" s="57">
        <f t="shared" si="7"/>
        <v>0</v>
      </c>
      <c r="G77" s="57">
        <f t="shared" si="8"/>
        <v>0</v>
      </c>
      <c r="H77" s="57">
        <f t="shared" si="9"/>
        <v>0</v>
      </c>
      <c r="I77" s="58">
        <f t="shared" si="10"/>
        <v>0</v>
      </c>
      <c r="J77" s="58">
        <f t="shared" si="11"/>
        <v>0</v>
      </c>
      <c r="K77" s="58">
        <f t="shared" si="12"/>
        <v>0</v>
      </c>
      <c r="L77" s="59">
        <f t="shared" si="13"/>
        <v>0</v>
      </c>
    </row>
    <row r="78" spans="1:27" x14ac:dyDescent="0.2">
      <c r="A78" s="106" t="str">
        <f t="shared" si="14"/>
        <v/>
      </c>
      <c r="B78" s="143" t="str">
        <f t="shared" si="14"/>
        <v/>
      </c>
      <c r="C78" s="57">
        <f t="shared" si="4"/>
        <v>0</v>
      </c>
      <c r="D78" s="57">
        <f t="shared" si="5"/>
        <v>0</v>
      </c>
      <c r="E78" s="57">
        <f t="shared" si="6"/>
        <v>0</v>
      </c>
      <c r="F78" s="57">
        <f t="shared" si="7"/>
        <v>0</v>
      </c>
      <c r="G78" s="57">
        <f t="shared" si="8"/>
        <v>0</v>
      </c>
      <c r="H78" s="57">
        <f t="shared" si="9"/>
        <v>0</v>
      </c>
      <c r="I78" s="58">
        <f t="shared" si="10"/>
        <v>0</v>
      </c>
      <c r="J78" s="58">
        <f t="shared" si="11"/>
        <v>0</v>
      </c>
      <c r="K78" s="58">
        <f t="shared" si="12"/>
        <v>0</v>
      </c>
      <c r="L78" s="59">
        <f t="shared" si="13"/>
        <v>0</v>
      </c>
    </row>
    <row r="79" spans="1:27" x14ac:dyDescent="0.2">
      <c r="A79" s="106" t="str">
        <f t="shared" si="14"/>
        <v/>
      </c>
      <c r="B79" s="143" t="str">
        <f t="shared" si="14"/>
        <v/>
      </c>
      <c r="C79" s="57">
        <f t="shared" si="4"/>
        <v>0</v>
      </c>
      <c r="D79" s="57">
        <f t="shared" si="5"/>
        <v>0</v>
      </c>
      <c r="E79" s="57">
        <f t="shared" si="6"/>
        <v>0</v>
      </c>
      <c r="F79" s="57">
        <f t="shared" si="7"/>
        <v>0</v>
      </c>
      <c r="G79" s="57">
        <f t="shared" si="8"/>
        <v>0</v>
      </c>
      <c r="H79" s="57">
        <f t="shared" si="9"/>
        <v>0</v>
      </c>
      <c r="I79" s="58">
        <f t="shared" si="10"/>
        <v>0</v>
      </c>
      <c r="J79" s="58">
        <f t="shared" si="11"/>
        <v>0</v>
      </c>
      <c r="K79" s="58">
        <f t="shared" si="12"/>
        <v>0</v>
      </c>
      <c r="L79" s="59">
        <f t="shared" si="13"/>
        <v>0</v>
      </c>
    </row>
    <row r="80" spans="1:27" x14ac:dyDescent="0.2">
      <c r="A80" s="106" t="str">
        <f t="shared" si="14"/>
        <v/>
      </c>
      <c r="B80" s="143" t="str">
        <f t="shared" si="14"/>
        <v/>
      </c>
      <c r="C80" s="57">
        <f t="shared" si="4"/>
        <v>0</v>
      </c>
      <c r="D80" s="57">
        <f t="shared" si="5"/>
        <v>0</v>
      </c>
      <c r="E80" s="57">
        <f t="shared" si="6"/>
        <v>0</v>
      </c>
      <c r="F80" s="57">
        <f t="shared" si="7"/>
        <v>0</v>
      </c>
      <c r="G80" s="57">
        <f t="shared" si="8"/>
        <v>0</v>
      </c>
      <c r="H80" s="57">
        <f t="shared" si="9"/>
        <v>0</v>
      </c>
      <c r="I80" s="58">
        <f t="shared" si="10"/>
        <v>0</v>
      </c>
      <c r="J80" s="58">
        <f t="shared" si="11"/>
        <v>0</v>
      </c>
      <c r="K80" s="58">
        <f t="shared" si="12"/>
        <v>0</v>
      </c>
      <c r="L80" s="59">
        <f t="shared" si="13"/>
        <v>0</v>
      </c>
    </row>
    <row r="81" spans="1:12" x14ac:dyDescent="0.2">
      <c r="A81" s="106" t="str">
        <f t="shared" si="14"/>
        <v/>
      </c>
      <c r="B81" s="143" t="str">
        <f t="shared" si="14"/>
        <v/>
      </c>
      <c r="C81" s="57">
        <f t="shared" si="4"/>
        <v>0</v>
      </c>
      <c r="D81" s="57">
        <f t="shared" si="5"/>
        <v>0</v>
      </c>
      <c r="E81" s="57">
        <f t="shared" si="6"/>
        <v>0</v>
      </c>
      <c r="F81" s="57">
        <f t="shared" si="7"/>
        <v>0</v>
      </c>
      <c r="G81" s="57">
        <f t="shared" si="8"/>
        <v>0</v>
      </c>
      <c r="H81" s="57">
        <f t="shared" si="9"/>
        <v>0</v>
      </c>
      <c r="I81" s="58">
        <f t="shared" si="10"/>
        <v>0</v>
      </c>
      <c r="J81" s="58">
        <f t="shared" si="11"/>
        <v>0</v>
      </c>
      <c r="K81" s="58">
        <f t="shared" si="12"/>
        <v>0</v>
      </c>
      <c r="L81" s="59">
        <f t="shared" si="13"/>
        <v>0</v>
      </c>
    </row>
    <row r="82" spans="1:12" x14ac:dyDescent="0.2">
      <c r="A82" s="106" t="str">
        <f t="shared" si="14"/>
        <v>仕込水（※ラボ吸水）</v>
      </c>
      <c r="B82" s="143">
        <f>IF(B37="","",B37)</f>
        <v>13.2</v>
      </c>
      <c r="C82" s="57">
        <f>C37*B82/100</f>
        <v>13.2</v>
      </c>
      <c r="D82" s="57">
        <f t="shared" si="5"/>
        <v>0</v>
      </c>
      <c r="E82" s="57">
        <f t="shared" si="6"/>
        <v>0</v>
      </c>
      <c r="F82" s="57">
        <f t="shared" si="7"/>
        <v>0</v>
      </c>
      <c r="G82" s="57">
        <f t="shared" si="8"/>
        <v>0</v>
      </c>
      <c r="H82" s="57">
        <f t="shared" si="9"/>
        <v>0</v>
      </c>
      <c r="I82" s="58">
        <f t="shared" si="10"/>
        <v>0</v>
      </c>
      <c r="J82" s="58">
        <f t="shared" si="11"/>
        <v>0</v>
      </c>
      <c r="K82" s="58">
        <f t="shared" si="12"/>
        <v>0</v>
      </c>
      <c r="L82" s="59">
        <f t="shared" si="13"/>
        <v>0</v>
      </c>
    </row>
    <row r="83" spans="1:12" x14ac:dyDescent="0.2">
      <c r="A83" s="9" t="s">
        <v>34</v>
      </c>
      <c r="B83" s="63">
        <f t="shared" ref="B83:L83" si="15">SUM(B53:B82)</f>
        <v>192.5</v>
      </c>
      <c r="C83" s="57">
        <f t="shared" si="15"/>
        <v>48.160139999999998</v>
      </c>
      <c r="D83" s="57">
        <f t="shared" si="15"/>
        <v>10.198089999999999</v>
      </c>
      <c r="E83" s="57">
        <f t="shared" si="15"/>
        <v>27.453950000000006</v>
      </c>
      <c r="F83" s="57">
        <f t="shared" si="15"/>
        <v>103.15321999999999</v>
      </c>
      <c r="G83" s="57">
        <f t="shared" si="15"/>
        <v>2.5949999999999998</v>
      </c>
      <c r="H83" s="57">
        <f t="shared" si="15"/>
        <v>0.79560000000000008</v>
      </c>
      <c r="I83" s="58">
        <f t="shared" si="15"/>
        <v>132.51</v>
      </c>
      <c r="J83" s="58">
        <f t="shared" si="15"/>
        <v>0.24</v>
      </c>
      <c r="K83" s="58">
        <f t="shared" si="15"/>
        <v>9.9734999999999996</v>
      </c>
      <c r="L83" s="58">
        <f t="shared" si="15"/>
        <v>35.58</v>
      </c>
    </row>
    <row r="84" spans="1:12" x14ac:dyDescent="0.2">
      <c r="A84" s="9" t="s">
        <v>35</v>
      </c>
      <c r="B84" s="41">
        <v>0</v>
      </c>
      <c r="C84" s="63"/>
      <c r="D84" s="63"/>
      <c r="E84" s="63"/>
      <c r="F84" s="63"/>
      <c r="G84" s="63"/>
      <c r="H84" s="63"/>
      <c r="I84" s="64"/>
      <c r="J84" s="65"/>
      <c r="K84" s="65"/>
      <c r="L84" s="66"/>
    </row>
    <row r="85" spans="1:12" x14ac:dyDescent="0.2">
      <c r="A85" s="9" t="s">
        <v>36</v>
      </c>
      <c r="B85" s="63">
        <f>B83-B83*B84/100</f>
        <v>192.5</v>
      </c>
      <c r="C85" s="57">
        <f>C83-B83*B84/100</f>
        <v>48.160139999999998</v>
      </c>
      <c r="D85" s="57">
        <f t="shared" ref="D85:L85" si="16">SUM(D53:D82)</f>
        <v>10.198089999999999</v>
      </c>
      <c r="E85" s="57">
        <f t="shared" si="16"/>
        <v>27.453950000000006</v>
      </c>
      <c r="F85" s="57">
        <f t="shared" si="16"/>
        <v>103.15321999999999</v>
      </c>
      <c r="G85" s="57">
        <f t="shared" si="16"/>
        <v>2.5949999999999998</v>
      </c>
      <c r="H85" s="57">
        <f t="shared" si="16"/>
        <v>0.79560000000000008</v>
      </c>
      <c r="I85" s="58">
        <f t="shared" si="16"/>
        <v>132.51</v>
      </c>
      <c r="J85" s="58">
        <f t="shared" si="16"/>
        <v>0.24</v>
      </c>
      <c r="K85" s="58">
        <f t="shared" si="16"/>
        <v>9.9734999999999996</v>
      </c>
      <c r="L85" s="59">
        <f t="shared" si="16"/>
        <v>35.58</v>
      </c>
    </row>
    <row r="86" spans="1:12" x14ac:dyDescent="0.2">
      <c r="A86" s="9" t="s">
        <v>37</v>
      </c>
      <c r="B86" s="67">
        <f>SUM(C86:H86)</f>
        <v>99.9</v>
      </c>
      <c r="C86" s="67">
        <f>ROUND(+C85/B85*100,1)</f>
        <v>25</v>
      </c>
      <c r="D86" s="67">
        <f>ROUND(+D85/B85*100,1)</f>
        <v>5.3</v>
      </c>
      <c r="E86" s="67">
        <f>ROUND(+E85/B85*100,1)</f>
        <v>14.3</v>
      </c>
      <c r="F86" s="67">
        <f>ROUND(+F85/B85*100,1)</f>
        <v>53.6</v>
      </c>
      <c r="G86" s="67">
        <f>ROUND(+G85/B85*100,1)</f>
        <v>1.3</v>
      </c>
      <c r="H86" s="67">
        <f>ROUND(+H85/B85*100,1)</f>
        <v>0.4</v>
      </c>
      <c r="I86" s="68">
        <f>ROUND(+I85/B85*100,1)</f>
        <v>68.8</v>
      </c>
      <c r="J86" s="58">
        <f>(+J85/B85*100)</f>
        <v>0.12467532467532468</v>
      </c>
      <c r="K86" s="58">
        <f>(+K85/B85*100)</f>
        <v>5.1810389610389604</v>
      </c>
      <c r="L86" s="59">
        <f>(+L85/B85*100)</f>
        <v>18.483116883116882</v>
      </c>
    </row>
    <row r="87" spans="1:12" x14ac:dyDescent="0.2">
      <c r="A87" s="9" t="s">
        <v>38</v>
      </c>
      <c r="B87" s="67">
        <f>SUM(C87:H87)</f>
        <v>99.999999999999986</v>
      </c>
      <c r="C87" s="161">
        <v>25</v>
      </c>
      <c r="D87" s="161">
        <v>5.3</v>
      </c>
      <c r="E87" s="161">
        <v>14.3</v>
      </c>
      <c r="F87" s="160">
        <f>F86+100-B86</f>
        <v>53.699999999999989</v>
      </c>
      <c r="G87" s="161">
        <v>1.3</v>
      </c>
      <c r="H87" s="161">
        <v>0.4</v>
      </c>
      <c r="I87" s="161">
        <v>68.8</v>
      </c>
      <c r="J87" s="162">
        <v>0.12467532467532468</v>
      </c>
      <c r="K87" s="162">
        <v>5.1810389610389604</v>
      </c>
      <c r="L87" s="161">
        <v>18.483116883116882</v>
      </c>
    </row>
    <row r="88" spans="1:12" x14ac:dyDescent="0.2">
      <c r="A88" s="6"/>
      <c r="B88" s="6"/>
      <c r="C88" s="6" t="s">
        <v>39</v>
      </c>
      <c r="D88" s="6"/>
      <c r="E88" s="6"/>
      <c r="F88" s="6"/>
      <c r="G88" s="6"/>
      <c r="H88" s="6"/>
      <c r="I88" s="35"/>
      <c r="J88" s="6"/>
      <c r="K88" s="6"/>
      <c r="L88" s="36"/>
    </row>
    <row r="89" spans="1:12" x14ac:dyDescent="0.2">
      <c r="A89" s="9" t="s">
        <v>24</v>
      </c>
      <c r="B89" s="9" t="s">
        <v>19</v>
      </c>
      <c r="C89" s="9" t="s">
        <v>4</v>
      </c>
      <c r="D89" s="9" t="s">
        <v>5</v>
      </c>
      <c r="E89" s="9" t="s">
        <v>6</v>
      </c>
      <c r="F89" s="9" t="s">
        <v>7</v>
      </c>
      <c r="G89" s="9" t="s">
        <v>8</v>
      </c>
      <c r="H89" s="9" t="s">
        <v>9</v>
      </c>
      <c r="I89" s="10" t="s">
        <v>25</v>
      </c>
      <c r="J89" s="11" t="s">
        <v>11</v>
      </c>
      <c r="K89" s="12" t="s">
        <v>12</v>
      </c>
      <c r="L89" s="13" t="s">
        <v>13</v>
      </c>
    </row>
    <row r="90" spans="1:12" x14ac:dyDescent="0.2">
      <c r="A90" s="32" t="s">
        <v>27</v>
      </c>
      <c r="B90" s="63">
        <f>B40*(100-B84)/100</f>
        <v>0</v>
      </c>
      <c r="C90" s="57">
        <f>C87/100*B90</f>
        <v>0</v>
      </c>
      <c r="D90" s="57">
        <f>D87/100*B90</f>
        <v>0</v>
      </c>
      <c r="E90" s="57">
        <f>E87/100*B90</f>
        <v>0</v>
      </c>
      <c r="F90" s="57">
        <f>F87/100*B90</f>
        <v>0</v>
      </c>
      <c r="G90" s="57">
        <f>G87/100*B90</f>
        <v>0</v>
      </c>
      <c r="H90" s="57">
        <f>H87/100*B90</f>
        <v>0</v>
      </c>
      <c r="I90" s="58">
        <f>I87/100*B90</f>
        <v>0</v>
      </c>
      <c r="J90" s="65">
        <f>J87/100*B90</f>
        <v>0</v>
      </c>
      <c r="K90" s="65">
        <f>K87/100*B90</f>
        <v>0</v>
      </c>
      <c r="L90" s="66">
        <f>L87/100*B90</f>
        <v>0</v>
      </c>
    </row>
    <row r="91" spans="1:12" x14ac:dyDescent="0.2">
      <c r="A91" s="106" t="str">
        <f>IF(A41="","",A41)</f>
        <v/>
      </c>
      <c r="B91" s="143" t="str">
        <f>IF(B41="","",B41)</f>
        <v/>
      </c>
      <c r="C91" s="57">
        <f t="shared" ref="C91:C99" si="17">C41/100*B91</f>
        <v>0</v>
      </c>
      <c r="D91" s="57">
        <f t="shared" ref="D91:D99" si="18">D41/100*B91</f>
        <v>0</v>
      </c>
      <c r="E91" s="57">
        <f t="shared" ref="E91:E99" si="19">E41/100*B91</f>
        <v>0</v>
      </c>
      <c r="F91" s="57">
        <f t="shared" ref="F91:F99" si="20">F41/100*B91</f>
        <v>0</v>
      </c>
      <c r="G91" s="57">
        <f t="shared" ref="G91:G99" si="21">G41/100*B91</f>
        <v>0</v>
      </c>
      <c r="H91" s="57">
        <f t="shared" ref="H91:H99" si="22">H41/100*B91</f>
        <v>0</v>
      </c>
      <c r="I91" s="58">
        <f t="shared" ref="I91:I99" si="23">I41/100*B91</f>
        <v>0</v>
      </c>
      <c r="J91" s="65">
        <f t="shared" ref="J91:J99" si="24">J41/100*B91</f>
        <v>0</v>
      </c>
      <c r="K91" s="65">
        <f t="shared" ref="K91:K99" si="25">K41/100*B91</f>
        <v>0</v>
      </c>
      <c r="L91" s="65">
        <f t="shared" ref="L91:L99" si="26">L41/100*B91</f>
        <v>0</v>
      </c>
    </row>
    <row r="92" spans="1:12" x14ac:dyDescent="0.2">
      <c r="A92" s="106" t="str">
        <f t="shared" ref="A92:B99" si="27">IF(A42="","",A42)</f>
        <v/>
      </c>
      <c r="B92" s="143" t="str">
        <f t="shared" si="27"/>
        <v/>
      </c>
      <c r="C92" s="57">
        <f t="shared" si="17"/>
        <v>0</v>
      </c>
      <c r="D92" s="57">
        <f t="shared" si="18"/>
        <v>0</v>
      </c>
      <c r="E92" s="57">
        <f t="shared" si="19"/>
        <v>0</v>
      </c>
      <c r="F92" s="57">
        <f t="shared" si="20"/>
        <v>0</v>
      </c>
      <c r="G92" s="57">
        <f t="shared" si="21"/>
        <v>0</v>
      </c>
      <c r="H92" s="57">
        <f t="shared" si="22"/>
        <v>0</v>
      </c>
      <c r="I92" s="58">
        <f t="shared" si="23"/>
        <v>0</v>
      </c>
      <c r="J92" s="65">
        <f t="shared" si="24"/>
        <v>0</v>
      </c>
      <c r="K92" s="65">
        <f t="shared" si="25"/>
        <v>0</v>
      </c>
      <c r="L92" s="65">
        <f t="shared" si="26"/>
        <v>0</v>
      </c>
    </row>
    <row r="93" spans="1:12" x14ac:dyDescent="0.2">
      <c r="A93" s="106" t="str">
        <f t="shared" si="27"/>
        <v/>
      </c>
      <c r="B93" s="143" t="str">
        <f t="shared" si="27"/>
        <v/>
      </c>
      <c r="C93" s="57">
        <f t="shared" si="17"/>
        <v>0</v>
      </c>
      <c r="D93" s="57">
        <f t="shared" si="18"/>
        <v>0</v>
      </c>
      <c r="E93" s="57">
        <f t="shared" si="19"/>
        <v>0</v>
      </c>
      <c r="F93" s="57">
        <f t="shared" si="20"/>
        <v>0</v>
      </c>
      <c r="G93" s="57">
        <f t="shared" si="21"/>
        <v>0</v>
      </c>
      <c r="H93" s="57">
        <f t="shared" si="22"/>
        <v>0</v>
      </c>
      <c r="I93" s="58">
        <f t="shared" si="23"/>
        <v>0</v>
      </c>
      <c r="J93" s="65">
        <f t="shared" si="24"/>
        <v>0</v>
      </c>
      <c r="K93" s="65">
        <f t="shared" si="25"/>
        <v>0</v>
      </c>
      <c r="L93" s="65">
        <f t="shared" si="26"/>
        <v>0</v>
      </c>
    </row>
    <row r="94" spans="1:12" x14ac:dyDescent="0.2">
      <c r="A94" s="106" t="str">
        <f t="shared" si="27"/>
        <v/>
      </c>
      <c r="B94" s="143" t="str">
        <f t="shared" si="27"/>
        <v/>
      </c>
      <c r="C94" s="57">
        <f t="shared" si="17"/>
        <v>0</v>
      </c>
      <c r="D94" s="57">
        <f t="shared" si="18"/>
        <v>0</v>
      </c>
      <c r="E94" s="57">
        <f t="shared" si="19"/>
        <v>0</v>
      </c>
      <c r="F94" s="57">
        <f t="shared" si="20"/>
        <v>0</v>
      </c>
      <c r="G94" s="57">
        <f t="shared" si="21"/>
        <v>0</v>
      </c>
      <c r="H94" s="57">
        <f t="shared" si="22"/>
        <v>0</v>
      </c>
      <c r="I94" s="58">
        <f t="shared" si="23"/>
        <v>0</v>
      </c>
      <c r="J94" s="65">
        <f t="shared" si="24"/>
        <v>0</v>
      </c>
      <c r="K94" s="65">
        <f t="shared" si="25"/>
        <v>0</v>
      </c>
      <c r="L94" s="65">
        <f t="shared" si="26"/>
        <v>0</v>
      </c>
    </row>
    <row r="95" spans="1:12" x14ac:dyDescent="0.2">
      <c r="A95" s="106" t="str">
        <f t="shared" si="27"/>
        <v/>
      </c>
      <c r="B95" s="143" t="str">
        <f t="shared" si="27"/>
        <v/>
      </c>
      <c r="C95" s="57">
        <f t="shared" si="17"/>
        <v>0</v>
      </c>
      <c r="D95" s="57">
        <f t="shared" si="18"/>
        <v>0</v>
      </c>
      <c r="E95" s="57">
        <f t="shared" si="19"/>
        <v>0</v>
      </c>
      <c r="F95" s="57">
        <f t="shared" si="20"/>
        <v>0</v>
      </c>
      <c r="G95" s="57">
        <f t="shared" si="21"/>
        <v>0</v>
      </c>
      <c r="H95" s="57">
        <f t="shared" si="22"/>
        <v>0</v>
      </c>
      <c r="I95" s="58">
        <f t="shared" si="23"/>
        <v>0</v>
      </c>
      <c r="J95" s="65">
        <f t="shared" si="24"/>
        <v>0</v>
      </c>
      <c r="K95" s="65">
        <f t="shared" si="25"/>
        <v>0</v>
      </c>
      <c r="L95" s="65">
        <f t="shared" si="26"/>
        <v>0</v>
      </c>
    </row>
    <row r="96" spans="1:12" x14ac:dyDescent="0.2">
      <c r="A96" s="106" t="str">
        <f t="shared" si="27"/>
        <v/>
      </c>
      <c r="B96" s="143" t="str">
        <f t="shared" si="27"/>
        <v/>
      </c>
      <c r="C96" s="57">
        <f t="shared" si="17"/>
        <v>0</v>
      </c>
      <c r="D96" s="57">
        <f t="shared" si="18"/>
        <v>0</v>
      </c>
      <c r="E96" s="57">
        <f t="shared" si="19"/>
        <v>0</v>
      </c>
      <c r="F96" s="57">
        <f t="shared" si="20"/>
        <v>0</v>
      </c>
      <c r="G96" s="57">
        <f t="shared" si="21"/>
        <v>0</v>
      </c>
      <c r="H96" s="57">
        <f t="shared" si="22"/>
        <v>0</v>
      </c>
      <c r="I96" s="58">
        <f t="shared" si="23"/>
        <v>0</v>
      </c>
      <c r="J96" s="65">
        <f t="shared" si="24"/>
        <v>0</v>
      </c>
      <c r="K96" s="65">
        <f t="shared" si="25"/>
        <v>0</v>
      </c>
      <c r="L96" s="65">
        <f t="shared" si="26"/>
        <v>0</v>
      </c>
    </row>
    <row r="97" spans="1:12" x14ac:dyDescent="0.2">
      <c r="A97" s="106" t="str">
        <f t="shared" si="27"/>
        <v/>
      </c>
      <c r="B97" s="143" t="str">
        <f t="shared" si="27"/>
        <v/>
      </c>
      <c r="C97" s="57">
        <f t="shared" si="17"/>
        <v>0</v>
      </c>
      <c r="D97" s="57">
        <f t="shared" si="18"/>
        <v>0</v>
      </c>
      <c r="E97" s="57">
        <f t="shared" si="19"/>
        <v>0</v>
      </c>
      <c r="F97" s="57">
        <f t="shared" si="20"/>
        <v>0</v>
      </c>
      <c r="G97" s="57">
        <f t="shared" si="21"/>
        <v>0</v>
      </c>
      <c r="H97" s="57">
        <f t="shared" si="22"/>
        <v>0</v>
      </c>
      <c r="I97" s="58">
        <f t="shared" si="23"/>
        <v>0</v>
      </c>
      <c r="J97" s="65">
        <f t="shared" si="24"/>
        <v>0</v>
      </c>
      <c r="K97" s="65">
        <f t="shared" si="25"/>
        <v>0</v>
      </c>
      <c r="L97" s="65">
        <f t="shared" si="26"/>
        <v>0</v>
      </c>
    </row>
    <row r="98" spans="1:12" x14ac:dyDescent="0.2">
      <c r="A98" s="106" t="str">
        <f t="shared" si="27"/>
        <v/>
      </c>
      <c r="B98" s="143" t="str">
        <f t="shared" si="27"/>
        <v/>
      </c>
      <c r="C98" s="57">
        <f t="shared" si="17"/>
        <v>0</v>
      </c>
      <c r="D98" s="57">
        <f t="shared" si="18"/>
        <v>0</v>
      </c>
      <c r="E98" s="57">
        <f t="shared" si="19"/>
        <v>0</v>
      </c>
      <c r="F98" s="57">
        <f t="shared" si="20"/>
        <v>0</v>
      </c>
      <c r="G98" s="57">
        <f t="shared" si="21"/>
        <v>0</v>
      </c>
      <c r="H98" s="57">
        <f t="shared" si="22"/>
        <v>0</v>
      </c>
      <c r="I98" s="58">
        <f t="shared" si="23"/>
        <v>0</v>
      </c>
      <c r="J98" s="65">
        <f t="shared" si="24"/>
        <v>0</v>
      </c>
      <c r="K98" s="65">
        <f t="shared" si="25"/>
        <v>0</v>
      </c>
      <c r="L98" s="65">
        <f t="shared" si="26"/>
        <v>0</v>
      </c>
    </row>
    <row r="99" spans="1:12" x14ac:dyDescent="0.2">
      <c r="A99" s="106" t="str">
        <f t="shared" si="27"/>
        <v/>
      </c>
      <c r="B99" s="143" t="str">
        <f t="shared" si="27"/>
        <v/>
      </c>
      <c r="C99" s="57">
        <f t="shared" si="17"/>
        <v>0</v>
      </c>
      <c r="D99" s="57">
        <f t="shared" si="18"/>
        <v>0</v>
      </c>
      <c r="E99" s="57">
        <f t="shared" si="19"/>
        <v>0</v>
      </c>
      <c r="F99" s="57">
        <f t="shared" si="20"/>
        <v>0</v>
      </c>
      <c r="G99" s="57">
        <f t="shared" si="21"/>
        <v>0</v>
      </c>
      <c r="H99" s="57">
        <f t="shared" si="22"/>
        <v>0</v>
      </c>
      <c r="I99" s="58">
        <f t="shared" si="23"/>
        <v>0</v>
      </c>
      <c r="J99" s="65">
        <f t="shared" si="24"/>
        <v>0</v>
      </c>
      <c r="K99" s="65">
        <f t="shared" si="25"/>
        <v>0</v>
      </c>
      <c r="L99" s="65">
        <f t="shared" si="26"/>
        <v>0</v>
      </c>
    </row>
    <row r="100" spans="1:12" x14ac:dyDescent="0.2">
      <c r="A100" s="9" t="s">
        <v>34</v>
      </c>
      <c r="B100" s="63">
        <f t="shared" ref="B100:L100" si="28">SUM(B90:B99)</f>
        <v>0</v>
      </c>
      <c r="C100" s="57">
        <f>SUM(C90:C99)</f>
        <v>0</v>
      </c>
      <c r="D100" s="57">
        <f t="shared" si="28"/>
        <v>0</v>
      </c>
      <c r="E100" s="57">
        <f t="shared" si="28"/>
        <v>0</v>
      </c>
      <c r="F100" s="57">
        <f t="shared" si="28"/>
        <v>0</v>
      </c>
      <c r="G100" s="57">
        <f t="shared" si="28"/>
        <v>0</v>
      </c>
      <c r="H100" s="57">
        <f t="shared" si="28"/>
        <v>0</v>
      </c>
      <c r="I100" s="58">
        <f t="shared" si="28"/>
        <v>0</v>
      </c>
      <c r="J100" s="58">
        <f t="shared" si="28"/>
        <v>0</v>
      </c>
      <c r="K100" s="58">
        <f t="shared" si="28"/>
        <v>0</v>
      </c>
      <c r="L100" s="58">
        <f t="shared" si="28"/>
        <v>0</v>
      </c>
    </row>
    <row r="101" spans="1:12" x14ac:dyDescent="0.2">
      <c r="A101" s="9" t="s">
        <v>35</v>
      </c>
      <c r="B101" s="41">
        <v>0</v>
      </c>
      <c r="C101" s="63"/>
      <c r="D101" s="63"/>
      <c r="E101" s="63"/>
      <c r="F101" s="63"/>
      <c r="G101" s="63"/>
      <c r="H101" s="63"/>
      <c r="I101" s="64"/>
      <c r="J101" s="64"/>
      <c r="K101" s="64"/>
      <c r="L101" s="66"/>
    </row>
    <row r="102" spans="1:12" x14ac:dyDescent="0.2">
      <c r="A102" s="9" t="s">
        <v>36</v>
      </c>
      <c r="B102" s="63">
        <f>B100-B100*B101/100</f>
        <v>0</v>
      </c>
      <c r="C102" s="57">
        <f>C100-B100*B101/100</f>
        <v>0</v>
      </c>
      <c r="D102" s="57">
        <f t="shared" ref="D102:L102" si="29">SUM(D90:D99)</f>
        <v>0</v>
      </c>
      <c r="E102" s="57">
        <f t="shared" si="29"/>
        <v>0</v>
      </c>
      <c r="F102" s="57">
        <f t="shared" si="29"/>
        <v>0</v>
      </c>
      <c r="G102" s="57">
        <f t="shared" si="29"/>
        <v>0</v>
      </c>
      <c r="H102" s="57">
        <f t="shared" si="29"/>
        <v>0</v>
      </c>
      <c r="I102" s="58">
        <f t="shared" si="29"/>
        <v>0</v>
      </c>
      <c r="J102" s="69">
        <f t="shared" si="29"/>
        <v>0</v>
      </c>
      <c r="K102" s="69">
        <f t="shared" si="29"/>
        <v>0</v>
      </c>
      <c r="L102" s="66">
        <f t="shared" si="29"/>
        <v>0</v>
      </c>
    </row>
    <row r="103" spans="1:12" ht="16.8" thickBot="1" x14ac:dyDescent="0.25">
      <c r="A103" s="70" t="s">
        <v>37</v>
      </c>
      <c r="B103" s="71" t="e">
        <f>SUM(C103:H103)</f>
        <v>#DIV/0!</v>
      </c>
      <c r="C103" s="71" t="e">
        <f>ROUND(+C102/B102*100,1)</f>
        <v>#DIV/0!</v>
      </c>
      <c r="D103" s="71" t="e">
        <f>ROUND(+D102/B102*100,1)</f>
        <v>#DIV/0!</v>
      </c>
      <c r="E103" s="71" t="e">
        <f>ROUND(+E102/B102*100,1)</f>
        <v>#DIV/0!</v>
      </c>
      <c r="F103" s="71" t="e">
        <f>ROUND(+F102/B102*100,1)</f>
        <v>#DIV/0!</v>
      </c>
      <c r="G103" s="71" t="e">
        <f>ROUND(+G102/B102*100,1)</f>
        <v>#DIV/0!</v>
      </c>
      <c r="H103" s="71" t="e">
        <f>ROUND(+H102/B102*100,1)</f>
        <v>#DIV/0!</v>
      </c>
      <c r="I103" s="100" t="e">
        <f>ROUND(+I102/B102*100,0)</f>
        <v>#DIV/0!</v>
      </c>
      <c r="J103" s="99" t="e">
        <f>ROUND(+J102/B102*100,2)</f>
        <v>#DIV/0!</v>
      </c>
      <c r="K103" s="99" t="e">
        <f>ROUND(+K102/B102*100,2)</f>
        <v>#DIV/0!</v>
      </c>
      <c r="L103" s="101" t="e">
        <f>ROUND(+L102/B102*100,0)</f>
        <v>#DIV/0!</v>
      </c>
    </row>
    <row r="104" spans="1:12" ht="17.399999999999999" thickTop="1" thickBot="1" x14ac:dyDescent="0.25">
      <c r="A104" s="72" t="s">
        <v>38</v>
      </c>
      <c r="B104" s="73" t="e">
        <f>SUM(C104:H104)</f>
        <v>#DIV/0!</v>
      </c>
      <c r="C104" s="163" t="e">
        <v>#DIV/0!</v>
      </c>
      <c r="D104" s="163" t="e">
        <v>#DIV/0!</v>
      </c>
      <c r="E104" s="163" t="e">
        <v>#DIV/0!</v>
      </c>
      <c r="F104" s="74" t="e">
        <f>F103+100-B103</f>
        <v>#DIV/0!</v>
      </c>
      <c r="G104" s="164" t="e">
        <v>#DIV/0!</v>
      </c>
      <c r="H104" s="164" t="e">
        <v>#DIV/0!</v>
      </c>
      <c r="I104" s="165" t="e">
        <v>#DIV/0!</v>
      </c>
      <c r="J104" s="166" t="e">
        <v>#DIV/0!</v>
      </c>
      <c r="K104" s="166" t="e">
        <v>#DIV/0!</v>
      </c>
      <c r="L104" s="165" t="e">
        <v>#DIV/0!</v>
      </c>
    </row>
    <row r="105" spans="1:12" ht="17.399999999999999" thickTop="1" thickBot="1" x14ac:dyDescent="0.25">
      <c r="A105" s="75"/>
      <c r="B105" s="76"/>
      <c r="C105" s="77"/>
      <c r="D105" s="77"/>
      <c r="E105" s="77"/>
      <c r="F105" s="78" t="s">
        <v>20</v>
      </c>
      <c r="G105" s="79"/>
      <c r="H105" s="77"/>
      <c r="I105" s="77"/>
      <c r="J105" s="77"/>
      <c r="K105" s="77"/>
      <c r="L105" s="8"/>
    </row>
    <row r="106" spans="1:12" ht="17.399999999999999" thickTop="1" thickBot="1" x14ac:dyDescent="0.25">
      <c r="A106" s="147" t="s">
        <v>77</v>
      </c>
      <c r="B106" s="148">
        <v>0</v>
      </c>
      <c r="C106" s="149" t="str">
        <f>IF(COUNTIF(A6,"*ｾﾌﾞﾝﾌﾟﾚﾐｱﾑ*")+COUNTIF(A6,"*7P*"),"7P 複数個入り注意!!","")</f>
        <v/>
      </c>
      <c r="D106" s="77"/>
      <c r="E106" s="77"/>
      <c r="F106" s="80" t="e">
        <f>SUM(F104:G104)</f>
        <v>#DIV/0!</v>
      </c>
      <c r="G106" s="77"/>
      <c r="H106" s="77"/>
      <c r="I106" s="77"/>
      <c r="J106" s="77"/>
      <c r="K106" s="77"/>
      <c r="L106" s="8"/>
    </row>
    <row r="107" spans="1:12" ht="18" x14ac:dyDescent="0.25">
      <c r="A107" s="2"/>
      <c r="B107" s="2"/>
      <c r="C107" s="2"/>
      <c r="D107" s="2"/>
      <c r="E107" s="81"/>
      <c r="F107" s="82"/>
      <c r="G107" s="2"/>
      <c r="H107" s="2"/>
      <c r="I107" s="2"/>
      <c r="J107" s="2"/>
      <c r="K107" s="2"/>
      <c r="L107" s="3"/>
    </row>
    <row r="108" spans="1:12" ht="18.600000000000001" thickBot="1" x14ac:dyDescent="0.3">
      <c r="A108" s="83" t="s">
        <v>40</v>
      </c>
      <c r="B108" s="84"/>
      <c r="C108" s="85" t="e">
        <f>ROUND(+D104*4+E104*9+F104*4+G104*2,0)</f>
        <v>#DIV/0!</v>
      </c>
      <c r="D108" s="83" t="s">
        <v>41</v>
      </c>
      <c r="E108" s="86"/>
      <c r="F108" s="81"/>
      <c r="G108" s="2"/>
      <c r="H108" s="2"/>
      <c r="I108" s="2"/>
      <c r="J108" s="2"/>
      <c r="K108" s="2"/>
      <c r="L108" s="3"/>
    </row>
    <row r="109" spans="1:12" ht="16.8" thickTop="1" x14ac:dyDescent="0.2">
      <c r="A109" s="2"/>
      <c r="B109" s="87"/>
      <c r="C109" s="87"/>
      <c r="D109" s="87"/>
      <c r="G109" s="87"/>
      <c r="H109" s="87"/>
      <c r="I109" s="87"/>
      <c r="J109" s="87"/>
      <c r="K109" s="87"/>
      <c r="L109" s="3"/>
    </row>
    <row r="110" spans="1:12" x14ac:dyDescent="0.2">
      <c r="A110" s="2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3"/>
    </row>
    <row r="111" spans="1:12" x14ac:dyDescent="0.2">
      <c r="A111" s="2"/>
      <c r="B111" s="87"/>
      <c r="C111" s="109" t="s">
        <v>46</v>
      </c>
      <c r="D111" s="87"/>
      <c r="E111" s="87" t="str">
        <f>AG12</f>
        <v>1個当たり</v>
      </c>
      <c r="F111" s="87"/>
      <c r="G111" s="87"/>
      <c r="H111" s="87"/>
      <c r="I111" s="87"/>
      <c r="J111" s="87"/>
      <c r="K111" s="87"/>
      <c r="L111" s="3"/>
    </row>
    <row r="112" spans="1:12" x14ac:dyDescent="0.2">
      <c r="A112" s="2"/>
      <c r="B112" s="87"/>
      <c r="C112" s="110" t="s">
        <v>47</v>
      </c>
      <c r="D112" s="110" t="s">
        <v>17</v>
      </c>
      <c r="E112" s="110" t="s">
        <v>18</v>
      </c>
      <c r="F112" s="110" t="s">
        <v>20</v>
      </c>
      <c r="G112" s="110" t="s">
        <v>21</v>
      </c>
      <c r="H112" s="110" t="s">
        <v>12</v>
      </c>
      <c r="I112" s="110" t="s">
        <v>48</v>
      </c>
      <c r="J112" s="110" t="s">
        <v>49</v>
      </c>
      <c r="K112" s="110" t="s">
        <v>64</v>
      </c>
      <c r="L112" s="3"/>
    </row>
    <row r="113" spans="1:12" x14ac:dyDescent="0.2">
      <c r="A113" s="2"/>
      <c r="B113" s="87"/>
      <c r="C113" s="111" t="e">
        <f>AG14</f>
        <v>#DIV/0!</v>
      </c>
      <c r="D113" s="112" t="e">
        <f>AG15</f>
        <v>#DIV/0!</v>
      </c>
      <c r="E113" s="112" t="e">
        <f>AG16</f>
        <v>#DIV/0!</v>
      </c>
      <c r="F113" s="113" t="e">
        <f>AG17</f>
        <v>#DIV/0!</v>
      </c>
      <c r="G113" s="114" t="e">
        <f>AG20</f>
        <v>#DIV/0!</v>
      </c>
      <c r="H113" s="115" t="e">
        <f>AG25</f>
        <v>#DIV/0!</v>
      </c>
      <c r="I113" s="114" t="e">
        <f>IF(AG13&gt;=100,AG26,IF(AE26&lt;0.3,0,AG26))</f>
        <v>#DIV/0!</v>
      </c>
      <c r="J113" s="116" t="e">
        <f>IF(AE27&lt;5,0,AG27)</f>
        <v>#DIV/0!</v>
      </c>
      <c r="K113" s="155" t="e">
        <f>AA18&amp;"："&amp;TEXT(AG18,"G/標準")&amp;AH18&amp;CHAR(10)&amp; AA19&amp;":"&amp;TEXT(AG19,"g/標準")&amp;AH19</f>
        <v>#VALUE!</v>
      </c>
      <c r="L113" s="3"/>
    </row>
    <row r="114" spans="1:12" x14ac:dyDescent="0.2">
      <c r="A114" s="2"/>
      <c r="B114" s="87"/>
      <c r="C114" s="117" t="s">
        <v>50</v>
      </c>
      <c r="D114" s="118" t="s">
        <v>51</v>
      </c>
      <c r="E114" s="118" t="s">
        <v>51</v>
      </c>
      <c r="F114" s="119" t="s">
        <v>51</v>
      </c>
      <c r="G114" s="118" t="s">
        <v>51</v>
      </c>
      <c r="H114" s="119" t="s">
        <v>51</v>
      </c>
      <c r="I114" s="118" t="s">
        <v>51</v>
      </c>
      <c r="J114" s="120" t="s">
        <v>52</v>
      </c>
      <c r="K114" s="156"/>
      <c r="L114" s="3"/>
    </row>
    <row r="115" spans="1:12" x14ac:dyDescent="0.2">
      <c r="A115" s="2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3"/>
    </row>
    <row r="117" spans="1:12" x14ac:dyDescent="0.2">
      <c r="A117" s="97"/>
    </row>
    <row r="118" spans="1:12" x14ac:dyDescent="0.2">
      <c r="A118" s="97"/>
    </row>
    <row r="119" spans="1:12" x14ac:dyDescent="0.2">
      <c r="A119" s="121"/>
    </row>
    <row r="120" spans="1:12" x14ac:dyDescent="0.2">
      <c r="A120" s="97"/>
    </row>
  </sheetData>
  <mergeCells count="8">
    <mergeCell ref="AK12:AK13"/>
    <mergeCell ref="AA31:AJ31"/>
    <mergeCell ref="G4:H4"/>
    <mergeCell ref="A5:E5"/>
    <mergeCell ref="A6:E6"/>
    <mergeCell ref="AB7:AI7"/>
    <mergeCell ref="AE12:AE13"/>
    <mergeCell ref="AG12:AI12"/>
  </mergeCells>
  <phoneticPr fontId="3"/>
  <conditionalFormatting sqref="AA1:AB1048576 AJ1:AJ1048576 AC1:AI6 AC8:AI1048576">
    <cfRule type="expression" dxfId="8" priority="9" stopIfTrue="1">
      <formula>$A$2="出力なし"</formula>
    </cfRule>
  </conditionalFormatting>
  <conditionalFormatting sqref="AA31:AJ31">
    <cfRule type="expression" dxfId="7" priority="8" stopIfTrue="1">
      <formula>NOT(AA31="この表示値は、目安です。")</formula>
    </cfRule>
  </conditionalFormatting>
  <conditionalFormatting sqref="AG12:AI12">
    <cfRule type="expression" dxfId="6" priority="7" stopIfTrue="1">
      <formula>NOT(AG12="1個当たり")</formula>
    </cfRule>
  </conditionalFormatting>
  <conditionalFormatting sqref="AG27">
    <cfRule type="expression" dxfId="5" priority="6" stopIfTrue="1">
      <formula>IF(AND(COUNTIF($A$6,"&lt;&gt;*様*"),$AE$27&lt;5),TRUE,FALSE)</formula>
    </cfRule>
  </conditionalFormatting>
  <conditionalFormatting sqref="AG26">
    <cfRule type="expression" dxfId="4" priority="5" stopIfTrue="1">
      <formula>IF(AND(COUNTIF($A$6,"&lt;&gt;*様*"),$AG$13&lt;100,$AE$26&lt;0.3),TRUE,FALSE)</formula>
    </cfRule>
  </conditionalFormatting>
  <conditionalFormatting sqref="AE23">
    <cfRule type="expression" dxfId="3" priority="4" stopIfTrue="1">
      <formula>IF($A$4="蒸し物",IF($AE$23&lt;30,TRUE,FALSE),FALSE)</formula>
    </cfRule>
  </conditionalFormatting>
  <conditionalFormatting sqref="Z25">
    <cfRule type="expression" dxfId="2" priority="3" stopIfTrue="1">
      <formula>COUNTIF($Z$25,"*1")</formula>
    </cfRule>
  </conditionalFormatting>
  <conditionalFormatting sqref="AG12:AI12">
    <cfRule type="expression" dxfId="1" priority="2" stopIfTrue="1">
      <formula>NOT(AG12="1個当たり")</formula>
    </cfRule>
  </conditionalFormatting>
  <conditionalFormatting sqref="Z26">
    <cfRule type="expression" dxfId="0" priority="1" stopIfTrue="1">
      <formula>COUNTIF($Z$26,"*2")</formula>
    </cfRule>
  </conditionalFormatting>
  <dataValidations count="2">
    <dataValidation type="list" allowBlank="1" showInputMessage="1" showErrorMessage="1" sqref="A2">
      <formula1>"出力用,出力なし"</formula1>
    </dataValidation>
    <dataValidation type="list" allowBlank="1" showInputMessage="1" showErrorMessage="1" sqref="A4">
      <formula1>"その他,蒸し物"</formula1>
    </dataValidation>
  </dataValidations>
  <printOptions gridLinesSet="0"/>
  <pageMargins left="0.51181102362204722" right="0.39370078740157483" top="0.98425196850393704" bottom="0.98425196850393704" header="0.51181102362204722" footer="0.51181102362204722"/>
  <pageSetup paperSize="9" scale="94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Copy87">
          <controlPr defaultSize="0" autoLine="0" r:id="rId5">
            <anchor moveWithCells="1" sizeWithCells="1">
              <from>
                <xdr:col>13</xdr:col>
                <xdr:colOff>99060</xdr:colOff>
                <xdr:row>86</xdr:row>
                <xdr:rowOff>0</xdr:rowOff>
              </from>
              <to>
                <xdr:col>18</xdr:col>
                <xdr:colOff>0</xdr:colOff>
                <xdr:row>87</xdr:row>
                <xdr:rowOff>99060</xdr:rowOff>
              </to>
            </anchor>
          </controlPr>
        </control>
      </mc:Choice>
      <mc:Fallback>
        <control shapeId="12289" r:id="rId4" name="cmdCopy87"/>
      </mc:Fallback>
    </mc:AlternateContent>
    <mc:AlternateContent xmlns:mc="http://schemas.openxmlformats.org/markup-compatibility/2006">
      <mc:Choice Requires="x14">
        <control shapeId="12290" r:id="rId6" name="cmdClear87">
          <controlPr defaultSize="0" autoLine="0" r:id="rId7">
            <anchor moveWithCells="1" sizeWithCells="1">
              <from>
                <xdr:col>21</xdr:col>
                <xdr:colOff>0</xdr:colOff>
                <xdr:row>86</xdr:row>
                <xdr:rowOff>0</xdr:rowOff>
              </from>
              <to>
                <xdr:col>25</xdr:col>
                <xdr:colOff>487680</xdr:colOff>
                <xdr:row>87</xdr:row>
                <xdr:rowOff>99060</xdr:rowOff>
              </to>
            </anchor>
          </controlPr>
        </control>
      </mc:Choice>
      <mc:Fallback>
        <control shapeId="12290" r:id="rId6" name="cmdClear87"/>
      </mc:Fallback>
    </mc:AlternateContent>
    <mc:AlternateContent xmlns:mc="http://schemas.openxmlformats.org/markup-compatibility/2006">
      <mc:Choice Requires="x14">
        <control shapeId="12291" r:id="rId8" name="cmdCopy104">
          <controlPr defaultSize="0" autoLine="0" r:id="rId9">
            <anchor moveWithCells="1" sizeWithCells="1">
              <from>
                <xdr:col>13</xdr:col>
                <xdr:colOff>99060</xdr:colOff>
                <xdr:row>103</xdr:row>
                <xdr:rowOff>0</xdr:rowOff>
              </from>
              <to>
                <xdr:col>18</xdr:col>
                <xdr:colOff>0</xdr:colOff>
                <xdr:row>104</xdr:row>
                <xdr:rowOff>60960</xdr:rowOff>
              </to>
            </anchor>
          </controlPr>
        </control>
      </mc:Choice>
      <mc:Fallback>
        <control shapeId="12291" r:id="rId8" name="cmdCopy104"/>
      </mc:Fallback>
    </mc:AlternateContent>
    <mc:AlternateContent xmlns:mc="http://schemas.openxmlformats.org/markup-compatibility/2006">
      <mc:Choice Requires="x14">
        <control shapeId="12292" r:id="rId10" name="cmdClear104">
          <controlPr defaultSize="0" autoLine="0" r:id="rId11">
            <anchor moveWithCells="1" sizeWithCells="1">
              <from>
                <xdr:col>21</xdr:col>
                <xdr:colOff>22860</xdr:colOff>
                <xdr:row>103</xdr:row>
                <xdr:rowOff>0</xdr:rowOff>
              </from>
              <to>
                <xdr:col>25</xdr:col>
                <xdr:colOff>457200</xdr:colOff>
                <xdr:row>104</xdr:row>
                <xdr:rowOff>60960</xdr:rowOff>
              </to>
            </anchor>
          </controlPr>
        </control>
      </mc:Choice>
      <mc:Fallback>
        <control shapeId="12292" r:id="rId10" name="cmdClear10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食物繊維入り</vt:lpstr>
      <vt:lpstr>皮</vt:lpstr>
      <vt:lpstr>食物繊維入り!Print_Area</vt:lpstr>
      <vt:lpstr>皮!Print_Area</vt:lpstr>
    </vt:vector>
  </TitlesOfParts>
  <Company>フジパン株式会社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00001199</dc:creator>
  <cp:lastModifiedBy>フジパン株式会社</cp:lastModifiedBy>
  <cp:lastPrinted>2024-06-07T04:07:41Z</cp:lastPrinted>
  <dcterms:created xsi:type="dcterms:W3CDTF">1999-12-02T04:43:04Z</dcterms:created>
  <dcterms:modified xsi:type="dcterms:W3CDTF">2026-05-13T04:19:53Z</dcterms:modified>
</cp:coreProperties>
</file>