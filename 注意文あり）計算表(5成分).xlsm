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95" yWindow="-345" windowWidth="20730" windowHeight="5355" tabRatio="763"/>
  </bookViews>
  <sheets>
    <sheet name="計算表" sheetId="13" r:id="rId1"/>
  </sheets>
  <functionGroups builtInGroupCount="17"/>
  <definedNames>
    <definedName name="HP掲載用">計算表!$C$113:$J$113</definedName>
    <definedName name="_xlnm.Print_Area" localSheetId="0">計算表!$AA$2:$AJ$41</definedName>
  </definedNames>
  <calcPr calcId="145621" refMode="R1C1"/>
</workbook>
</file>

<file path=xl/calcChain.xml><?xml version="1.0" encoding="utf-8"?>
<calcChain xmlns="http://schemas.openxmlformats.org/spreadsheetml/2006/main">
  <c r="C3" i="13" l="1"/>
  <c r="C2" i="13" l="1"/>
  <c r="G106" i="13" l="1"/>
  <c r="AO19" i="13" l="1"/>
  <c r="AP16" i="13"/>
  <c r="AG12" i="13" l="1"/>
  <c r="AA38" i="13"/>
  <c r="AA37" i="13"/>
  <c r="AA36" i="13"/>
  <c r="AE20" i="13"/>
  <c r="AE35" i="13"/>
  <c r="AB7" i="13"/>
  <c r="E111" i="13" l="1"/>
  <c r="AE18" i="13"/>
  <c r="A92" i="13"/>
  <c r="B92" i="13"/>
  <c r="A93" i="13"/>
  <c r="B93" i="13"/>
  <c r="A94" i="13"/>
  <c r="B94" i="13"/>
  <c r="A95" i="13"/>
  <c r="B95" i="13"/>
  <c r="A96" i="13"/>
  <c r="B96" i="13"/>
  <c r="A97" i="13"/>
  <c r="B97" i="13"/>
  <c r="A98" i="13"/>
  <c r="B98" i="13"/>
  <c r="A99" i="13"/>
  <c r="B99" i="13"/>
  <c r="B91" i="13"/>
  <c r="A91" i="13"/>
  <c r="A54" i="13"/>
  <c r="B54" i="13"/>
  <c r="A55" i="13"/>
  <c r="B55" i="13"/>
  <c r="A56" i="13"/>
  <c r="B56" i="13"/>
  <c r="A57" i="13"/>
  <c r="B57" i="13"/>
  <c r="A58" i="13"/>
  <c r="B58" i="13"/>
  <c r="A59" i="13"/>
  <c r="B59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7" i="13"/>
  <c r="B67" i="13"/>
  <c r="A68" i="13"/>
  <c r="B68" i="13"/>
  <c r="A69" i="13"/>
  <c r="B69" i="13"/>
  <c r="A70" i="13"/>
  <c r="B70" i="13"/>
  <c r="A71" i="13"/>
  <c r="B71" i="13"/>
  <c r="A72" i="13"/>
  <c r="B72" i="13"/>
  <c r="A73" i="13"/>
  <c r="B73" i="13"/>
  <c r="A74" i="13"/>
  <c r="B74" i="13"/>
  <c r="A75" i="13"/>
  <c r="B75" i="13"/>
  <c r="A76" i="13"/>
  <c r="B76" i="13"/>
  <c r="A77" i="13"/>
  <c r="B77" i="13"/>
  <c r="A78" i="13"/>
  <c r="B78" i="13"/>
  <c r="A79" i="13"/>
  <c r="B79" i="13"/>
  <c r="A80" i="13"/>
  <c r="B80" i="13"/>
  <c r="A81" i="13"/>
  <c r="B81" i="13"/>
  <c r="A82" i="13"/>
  <c r="B82" i="13"/>
  <c r="B53" i="13"/>
  <c r="A53" i="13"/>
  <c r="AI5" i="13"/>
  <c r="C53" i="13" l="1"/>
  <c r="D53" i="13"/>
  <c r="E53" i="13"/>
  <c r="F53" i="13"/>
  <c r="G53" i="13"/>
  <c r="H53" i="13"/>
  <c r="I53" i="13"/>
  <c r="J53" i="13"/>
  <c r="K53" i="13"/>
  <c r="L53" i="13"/>
  <c r="C54" i="13"/>
  <c r="D54" i="13"/>
  <c r="E54" i="13"/>
  <c r="F54" i="13"/>
  <c r="G54" i="13"/>
  <c r="H54" i="13"/>
  <c r="I54" i="13"/>
  <c r="J54" i="13"/>
  <c r="K54" i="13"/>
  <c r="L54" i="13"/>
  <c r="C55" i="13"/>
  <c r="D55" i="13"/>
  <c r="E55" i="13"/>
  <c r="F55" i="13"/>
  <c r="G55" i="13"/>
  <c r="H55" i="13"/>
  <c r="I55" i="13"/>
  <c r="J55" i="13"/>
  <c r="K55" i="13"/>
  <c r="L55" i="13"/>
  <c r="AE25" i="13"/>
  <c r="AE24" i="13"/>
  <c r="B90" i="13"/>
  <c r="G90" i="13" s="1"/>
  <c r="C82" i="13"/>
  <c r="C56" i="13"/>
  <c r="D56" i="13"/>
  <c r="E56" i="13"/>
  <c r="F56" i="13"/>
  <c r="G56" i="13"/>
  <c r="H56" i="13"/>
  <c r="I56" i="13"/>
  <c r="J56" i="13"/>
  <c r="K56" i="13"/>
  <c r="L56" i="13"/>
  <c r="C57" i="13"/>
  <c r="D57" i="13"/>
  <c r="E57" i="13"/>
  <c r="F57" i="13"/>
  <c r="G57" i="13"/>
  <c r="H57" i="13"/>
  <c r="I57" i="13"/>
  <c r="J57" i="13"/>
  <c r="K57" i="13"/>
  <c r="L57" i="13"/>
  <c r="C58" i="13"/>
  <c r="D58" i="13"/>
  <c r="E58" i="13"/>
  <c r="F58" i="13"/>
  <c r="G58" i="13"/>
  <c r="H58" i="13"/>
  <c r="I58" i="13"/>
  <c r="J58" i="13"/>
  <c r="K58" i="13"/>
  <c r="L58" i="13"/>
  <c r="C59" i="13"/>
  <c r="D59" i="13"/>
  <c r="E59" i="13"/>
  <c r="F59" i="13"/>
  <c r="G59" i="13"/>
  <c r="H59" i="13"/>
  <c r="I59" i="13"/>
  <c r="J59" i="13"/>
  <c r="K59" i="13"/>
  <c r="L59" i="13"/>
  <c r="C60" i="13"/>
  <c r="D60" i="13"/>
  <c r="E60" i="13"/>
  <c r="F60" i="13"/>
  <c r="G60" i="13"/>
  <c r="H60" i="13"/>
  <c r="I60" i="13"/>
  <c r="J60" i="13"/>
  <c r="K60" i="13"/>
  <c r="L60" i="13"/>
  <c r="C61" i="13"/>
  <c r="D61" i="13"/>
  <c r="E61" i="13"/>
  <c r="F61" i="13"/>
  <c r="G61" i="13"/>
  <c r="H61" i="13"/>
  <c r="I61" i="13"/>
  <c r="J61" i="13"/>
  <c r="K61" i="13"/>
  <c r="L61" i="13"/>
  <c r="C62" i="13"/>
  <c r="D62" i="13"/>
  <c r="E62" i="13"/>
  <c r="F62" i="13"/>
  <c r="G62" i="13"/>
  <c r="H62" i="13"/>
  <c r="I62" i="13"/>
  <c r="J62" i="13"/>
  <c r="K62" i="13"/>
  <c r="L62" i="13"/>
  <c r="C63" i="13"/>
  <c r="D63" i="13"/>
  <c r="E63" i="13"/>
  <c r="F63" i="13"/>
  <c r="G63" i="13"/>
  <c r="H63" i="13"/>
  <c r="I63" i="13"/>
  <c r="J63" i="13"/>
  <c r="K63" i="13"/>
  <c r="L63" i="13"/>
  <c r="C64" i="13"/>
  <c r="D64" i="13"/>
  <c r="E64" i="13"/>
  <c r="F64" i="13"/>
  <c r="G64" i="13"/>
  <c r="H64" i="13"/>
  <c r="I64" i="13"/>
  <c r="J64" i="13"/>
  <c r="K64" i="13"/>
  <c r="L64" i="13"/>
  <c r="C65" i="13"/>
  <c r="D65" i="13"/>
  <c r="E65" i="13"/>
  <c r="F65" i="13"/>
  <c r="G65" i="13"/>
  <c r="H65" i="13"/>
  <c r="I65" i="13"/>
  <c r="J65" i="13"/>
  <c r="K65" i="13"/>
  <c r="L65" i="13"/>
  <c r="C66" i="13"/>
  <c r="D66" i="13"/>
  <c r="E66" i="13"/>
  <c r="F66" i="13"/>
  <c r="G66" i="13"/>
  <c r="H66" i="13"/>
  <c r="I66" i="13"/>
  <c r="J66" i="13"/>
  <c r="K66" i="13"/>
  <c r="L66" i="13"/>
  <c r="C67" i="13"/>
  <c r="D67" i="13"/>
  <c r="E67" i="13"/>
  <c r="F67" i="13"/>
  <c r="G67" i="13"/>
  <c r="H67" i="13"/>
  <c r="I67" i="13"/>
  <c r="J67" i="13"/>
  <c r="K67" i="13"/>
  <c r="L67" i="13"/>
  <c r="C68" i="13"/>
  <c r="D68" i="13"/>
  <c r="E68" i="13"/>
  <c r="F68" i="13"/>
  <c r="G68" i="13"/>
  <c r="H68" i="13"/>
  <c r="I68" i="13"/>
  <c r="J68" i="13"/>
  <c r="K68" i="13"/>
  <c r="L68" i="13"/>
  <c r="C69" i="13"/>
  <c r="D69" i="13"/>
  <c r="E69" i="13"/>
  <c r="F69" i="13"/>
  <c r="G69" i="13"/>
  <c r="H69" i="13"/>
  <c r="I69" i="13"/>
  <c r="J69" i="13"/>
  <c r="K69" i="13"/>
  <c r="L69" i="13"/>
  <c r="C70" i="13"/>
  <c r="D70" i="13"/>
  <c r="E70" i="13"/>
  <c r="F70" i="13"/>
  <c r="G70" i="13"/>
  <c r="H70" i="13"/>
  <c r="I70" i="13"/>
  <c r="J70" i="13"/>
  <c r="K70" i="13"/>
  <c r="L70" i="13"/>
  <c r="C71" i="13"/>
  <c r="D71" i="13"/>
  <c r="E71" i="13"/>
  <c r="F71" i="13"/>
  <c r="G71" i="13"/>
  <c r="H71" i="13"/>
  <c r="I71" i="13"/>
  <c r="J71" i="13"/>
  <c r="K71" i="13"/>
  <c r="L71" i="13"/>
  <c r="C72" i="13"/>
  <c r="D72" i="13"/>
  <c r="E72" i="13"/>
  <c r="F72" i="13"/>
  <c r="G72" i="13"/>
  <c r="H72" i="13"/>
  <c r="I72" i="13"/>
  <c r="J72" i="13"/>
  <c r="K72" i="13"/>
  <c r="L72" i="13"/>
  <c r="C73" i="13"/>
  <c r="D73" i="13"/>
  <c r="E73" i="13"/>
  <c r="F73" i="13"/>
  <c r="G73" i="13"/>
  <c r="H73" i="13"/>
  <c r="I73" i="13"/>
  <c r="J73" i="13"/>
  <c r="K73" i="13"/>
  <c r="L73" i="13"/>
  <c r="C74" i="13"/>
  <c r="D74" i="13"/>
  <c r="E74" i="13"/>
  <c r="F74" i="13"/>
  <c r="G74" i="13"/>
  <c r="H74" i="13"/>
  <c r="I74" i="13"/>
  <c r="J74" i="13"/>
  <c r="K74" i="13"/>
  <c r="L74" i="13"/>
  <c r="C75" i="13"/>
  <c r="D75" i="13"/>
  <c r="E75" i="13"/>
  <c r="F75" i="13"/>
  <c r="G75" i="13"/>
  <c r="H75" i="13"/>
  <c r="I75" i="13"/>
  <c r="J75" i="13"/>
  <c r="K75" i="13"/>
  <c r="L75" i="13"/>
  <c r="C76" i="13"/>
  <c r="D76" i="13"/>
  <c r="E76" i="13"/>
  <c r="F76" i="13"/>
  <c r="G76" i="13"/>
  <c r="H76" i="13"/>
  <c r="I76" i="13"/>
  <c r="J76" i="13"/>
  <c r="K76" i="13"/>
  <c r="L76" i="13"/>
  <c r="C77" i="13"/>
  <c r="D77" i="13"/>
  <c r="E77" i="13"/>
  <c r="F77" i="13"/>
  <c r="G77" i="13"/>
  <c r="H77" i="13"/>
  <c r="I77" i="13"/>
  <c r="J77" i="13"/>
  <c r="K77" i="13"/>
  <c r="L77" i="13"/>
  <c r="C78" i="13"/>
  <c r="D78" i="13"/>
  <c r="E78" i="13"/>
  <c r="F78" i="13"/>
  <c r="G78" i="13"/>
  <c r="H78" i="13"/>
  <c r="I78" i="13"/>
  <c r="J78" i="13"/>
  <c r="K78" i="13"/>
  <c r="L78" i="13"/>
  <c r="C79" i="13"/>
  <c r="D79" i="13"/>
  <c r="E79" i="13"/>
  <c r="F79" i="13"/>
  <c r="G79" i="13"/>
  <c r="H79" i="13"/>
  <c r="I79" i="13"/>
  <c r="J79" i="13"/>
  <c r="K79" i="13"/>
  <c r="L79" i="13"/>
  <c r="C80" i="13"/>
  <c r="D80" i="13"/>
  <c r="E80" i="13"/>
  <c r="F80" i="13"/>
  <c r="G80" i="13"/>
  <c r="H80" i="13"/>
  <c r="I80" i="13"/>
  <c r="J80" i="13"/>
  <c r="K80" i="13"/>
  <c r="L80" i="13"/>
  <c r="C81" i="13"/>
  <c r="D81" i="13"/>
  <c r="E81" i="13"/>
  <c r="F81" i="13"/>
  <c r="G81" i="13"/>
  <c r="H81" i="13"/>
  <c r="I81" i="13"/>
  <c r="J81" i="13"/>
  <c r="K81" i="13"/>
  <c r="L81" i="13"/>
  <c r="D82" i="13"/>
  <c r="E82" i="13"/>
  <c r="F82" i="13"/>
  <c r="G82" i="13"/>
  <c r="H82" i="13"/>
  <c r="I82" i="13"/>
  <c r="J82" i="13"/>
  <c r="K82" i="13"/>
  <c r="L82" i="13"/>
  <c r="M33" i="13"/>
  <c r="M35" i="13"/>
  <c r="M34" i="13"/>
  <c r="M32" i="13"/>
  <c r="M31" i="13"/>
  <c r="M27" i="13"/>
  <c r="M26" i="13"/>
  <c r="M25" i="13"/>
  <c r="M24" i="13"/>
  <c r="M23" i="13"/>
  <c r="M22" i="13"/>
  <c r="M21" i="13"/>
  <c r="M20" i="13"/>
  <c r="M19" i="13"/>
  <c r="M18" i="13"/>
  <c r="I91" i="13"/>
  <c r="I92" i="13"/>
  <c r="I93" i="13"/>
  <c r="I94" i="13"/>
  <c r="I95" i="13"/>
  <c r="I96" i="13"/>
  <c r="I97" i="13"/>
  <c r="I98" i="13"/>
  <c r="I99" i="13"/>
  <c r="B83" i="13"/>
  <c r="B85" i="13" s="1"/>
  <c r="C91" i="13"/>
  <c r="D91" i="13"/>
  <c r="E91" i="13"/>
  <c r="F91" i="13"/>
  <c r="G91" i="13"/>
  <c r="H91" i="13"/>
  <c r="J91" i="13"/>
  <c r="K91" i="13"/>
  <c r="L91" i="13"/>
  <c r="C92" i="13"/>
  <c r="D92" i="13"/>
  <c r="E92" i="13"/>
  <c r="F92" i="13"/>
  <c r="G92" i="13"/>
  <c r="H92" i="13"/>
  <c r="J92" i="13"/>
  <c r="K92" i="13"/>
  <c r="L92" i="13"/>
  <c r="C93" i="13"/>
  <c r="D93" i="13"/>
  <c r="E93" i="13"/>
  <c r="F93" i="13"/>
  <c r="G93" i="13"/>
  <c r="H93" i="13"/>
  <c r="J93" i="13"/>
  <c r="K93" i="13"/>
  <c r="L93" i="13"/>
  <c r="C94" i="13"/>
  <c r="D94" i="13"/>
  <c r="E94" i="13"/>
  <c r="F94" i="13"/>
  <c r="G94" i="13"/>
  <c r="H94" i="13"/>
  <c r="J94" i="13"/>
  <c r="K94" i="13"/>
  <c r="L94" i="13"/>
  <c r="C95" i="13"/>
  <c r="D95" i="13"/>
  <c r="E95" i="13"/>
  <c r="F95" i="13"/>
  <c r="G95" i="13"/>
  <c r="H95" i="13"/>
  <c r="J95" i="13"/>
  <c r="K95" i="13"/>
  <c r="L95" i="13"/>
  <c r="C96" i="13"/>
  <c r="D96" i="13"/>
  <c r="E96" i="13"/>
  <c r="F96" i="13"/>
  <c r="G96" i="13"/>
  <c r="H96" i="13"/>
  <c r="J96" i="13"/>
  <c r="K96" i="13"/>
  <c r="L96" i="13"/>
  <c r="C97" i="13"/>
  <c r="D97" i="13"/>
  <c r="E97" i="13"/>
  <c r="F97" i="13"/>
  <c r="G97" i="13"/>
  <c r="H97" i="13"/>
  <c r="J97" i="13"/>
  <c r="K97" i="13"/>
  <c r="L97" i="13"/>
  <c r="C98" i="13"/>
  <c r="D98" i="13"/>
  <c r="E98" i="13"/>
  <c r="F98" i="13"/>
  <c r="G98" i="13"/>
  <c r="H98" i="13"/>
  <c r="J98" i="13"/>
  <c r="K98" i="13"/>
  <c r="L98" i="13"/>
  <c r="C99" i="13"/>
  <c r="D99" i="13"/>
  <c r="E99" i="13"/>
  <c r="F99" i="13"/>
  <c r="G99" i="13"/>
  <c r="H99" i="13"/>
  <c r="J99" i="13"/>
  <c r="K99" i="13"/>
  <c r="L99" i="13"/>
  <c r="M30" i="13"/>
  <c r="M49" i="13"/>
  <c r="M48" i="13"/>
  <c r="M47" i="13"/>
  <c r="M46" i="13"/>
  <c r="M45" i="13"/>
  <c r="M44" i="13"/>
  <c r="M43" i="13"/>
  <c r="M42" i="13"/>
  <c r="M41" i="13"/>
  <c r="M40" i="13"/>
  <c r="M37" i="13"/>
  <c r="M36" i="13"/>
  <c r="M29" i="13"/>
  <c r="M28" i="13"/>
  <c r="M17" i="13"/>
  <c r="M16" i="13"/>
  <c r="M15" i="13"/>
  <c r="M14" i="13"/>
  <c r="M13" i="13"/>
  <c r="M12" i="13"/>
  <c r="M11" i="13"/>
  <c r="M10" i="13"/>
  <c r="M9" i="13"/>
  <c r="M8" i="13"/>
  <c r="AE23" i="13"/>
  <c r="AE15" i="13"/>
  <c r="AE16" i="13"/>
  <c r="AE22" i="13"/>
  <c r="AE21" i="13"/>
  <c r="AK24" i="13" l="1"/>
  <c r="AK18" i="13"/>
  <c r="I90" i="13"/>
  <c r="I102" i="13" s="1"/>
  <c r="E90" i="13"/>
  <c r="E100" i="13" s="1"/>
  <c r="L90" i="13"/>
  <c r="L100" i="13" s="1"/>
  <c r="D90" i="13"/>
  <c r="D102" i="13" s="1"/>
  <c r="K90" i="13"/>
  <c r="K102" i="13" s="1"/>
  <c r="H90" i="13"/>
  <c r="H102" i="13" s="1"/>
  <c r="J90" i="13"/>
  <c r="J100" i="13" s="1"/>
  <c r="C90" i="13"/>
  <c r="C100" i="13" s="1"/>
  <c r="B100" i="13"/>
  <c r="B102" i="13" s="1"/>
  <c r="L83" i="13"/>
  <c r="J85" i="13"/>
  <c r="J86" i="13" s="1"/>
  <c r="F83" i="13"/>
  <c r="I100" i="13"/>
  <c r="G102" i="13"/>
  <c r="G100" i="13"/>
  <c r="G83" i="13"/>
  <c r="D83" i="13"/>
  <c r="K85" i="13"/>
  <c r="K86" i="13" s="1"/>
  <c r="D85" i="13"/>
  <c r="D86" i="13" s="1"/>
  <c r="G85" i="13"/>
  <c r="G86" i="13" s="1"/>
  <c r="E85" i="13"/>
  <c r="E86" i="13" s="1"/>
  <c r="I85" i="13"/>
  <c r="I86" i="13" s="1"/>
  <c r="K83" i="13"/>
  <c r="C83" i="13"/>
  <c r="C85" i="13" s="1"/>
  <c r="C86" i="13" s="1"/>
  <c r="H83" i="13"/>
  <c r="H85" i="13"/>
  <c r="H86" i="13" s="1"/>
  <c r="F85" i="13"/>
  <c r="F86" i="13" s="1"/>
  <c r="L85" i="13"/>
  <c r="L86" i="13" s="1"/>
  <c r="J83" i="13"/>
  <c r="I83" i="13"/>
  <c r="E83" i="13"/>
  <c r="AG13" i="13" l="1"/>
  <c r="AP19" i="13" s="1"/>
  <c r="E102" i="13"/>
  <c r="E103" i="13" s="1"/>
  <c r="C102" i="13"/>
  <c r="C103" i="13" s="1"/>
  <c r="D100" i="13"/>
  <c r="D103" i="13"/>
  <c r="K103" i="13"/>
  <c r="I103" i="13"/>
  <c r="G103" i="13"/>
  <c r="B86" i="13"/>
  <c r="F87" i="13" s="1"/>
  <c r="K100" i="13"/>
  <c r="J102" i="13"/>
  <c r="J103" i="13" s="1"/>
  <c r="H100" i="13"/>
  <c r="H103" i="13"/>
  <c r="L102" i="13"/>
  <c r="L103" i="13" s="1"/>
  <c r="AG16" i="13" l="1"/>
  <c r="E113" i="13" s="1"/>
  <c r="AG15" i="13"/>
  <c r="D113" i="13" s="1"/>
  <c r="AG22" i="13"/>
  <c r="AG21" i="13"/>
  <c r="AG23" i="13"/>
  <c r="Z23" i="13" s="1"/>
  <c r="AG24" i="13"/>
  <c r="Z24" i="13" s="1"/>
  <c r="AG25" i="13"/>
  <c r="J113" i="13" s="1"/>
  <c r="AG20" i="13"/>
  <c r="AG18" i="13" s="1"/>
  <c r="G113" i="13" s="1"/>
  <c r="F90" i="13"/>
  <c r="B87" i="13"/>
  <c r="I113" i="13" l="1"/>
  <c r="H113" i="13"/>
  <c r="F102" i="13"/>
  <c r="F103" i="13" s="1"/>
  <c r="F100" i="13"/>
  <c r="B103" i="13" l="1"/>
  <c r="F104" i="13" s="1"/>
  <c r="AO18" i="13" s="1"/>
  <c r="C108" i="13" l="1"/>
  <c r="AE14" i="13" s="1"/>
  <c r="F106" i="13"/>
  <c r="B104" i="13"/>
  <c r="AE17" i="13" l="1"/>
  <c r="AG17" i="13" s="1"/>
  <c r="AP17" i="13" s="1"/>
  <c r="AP18" i="13" s="1"/>
  <c r="AO17" i="13"/>
  <c r="AG14" i="13" l="1"/>
  <c r="C113" i="13" s="1"/>
  <c r="F113" i="13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<sst xmlns="http://schemas.openxmlformats.org/spreadsheetml/2006/main" count="163" uniqueCount="99">
  <si>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</si>
  <si>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</si>
  <si>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</si>
  <si>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</si>
  <si>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</si>
  <si>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</si>
  <si>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</si>
  <si>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</si>
  <si>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</si>
  <si>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</si>
  <si>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</si>
  <si>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</si>
  <si>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</si>
  <si>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</si>
  <si>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</si>
  <si>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</si>
  <si>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</si>
  <si>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</si>
  <si>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</si>
  <si>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</si>
  <si>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</si>
  <si>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</si>
  <si>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</si>
  <si>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</si>
  <si>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</si>
  <si>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</si>
  <si>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</si>
  <si>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</si>
  <si>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</si>
  <si>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</si>
  <si>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</si>
  <si>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</si>
  <si>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</si>
  <si>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g</t>
    <phoneticPr fontId="2"/>
  </si>
  <si>
    <t>飽和脂肪酸</t>
    <rPh sb="0" eb="2">
      <t>ホウワ</t>
    </rPh>
    <rPh sb="2" eb="5">
      <t>シボウサン</t>
    </rPh>
    <phoneticPr fontId="2"/>
  </si>
  <si>
    <t>ｺﾚｽﾃﾛｰﾙ</t>
    <phoneticPr fontId="2"/>
  </si>
  <si>
    <t>エネルギー</t>
    <phoneticPr fontId="2"/>
  </si>
  <si>
    <t>コレステロール</t>
    <phoneticPr fontId="2"/>
  </si>
  <si>
    <t>ナトリウム</t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</si>
  <si>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</si>
  <si>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</si>
  <si>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</si>
  <si>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t>ﾌﾟﾙﾀﾞｳﾝﾘｽﾄ</t>
    <phoneticPr fontId="16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</si>
  <si>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</si>
  <si>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</si>
  <si>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</si>
  <si>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</si>
  <si>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</si>
  <si>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</si>
  <si>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</si>
  <si>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</si>
  <si>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</si>
  <si>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</si>
  <si>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</si>
  <si>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t>「この表示値は、目安です。」の一文は不要。</t>
    <phoneticPr fontId="16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</si>
  <si>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</si>
  <si>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</si>
  <si>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</si>
  <si>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</si>
  <si>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100g当たり</t>
    <phoneticPr fontId="2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</si>
  <si>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</si>
  <si>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</si>
  <si>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</si>
  <si>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</si>
  <si>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</si>
  <si>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</si>
  <si>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</si>
  <si>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</si>
  <si>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</si>
  <si>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規格重量</t>
    <rPh sb="0" eb="2">
      <t>キカク</t>
    </rPh>
    <rPh sb="2" eb="4">
      <t>ジュウリョウ</t>
    </rPh>
    <phoneticPr fontId="2"/>
  </si>
  <si>
    <t>計算表(5成分)</t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</si>
  <si>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</si>
  <si>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</si>
  <si>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</si>
  <si>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</si>
  <si>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</si>
  <si>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</si>
  <si>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</si>
  <si>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</si>
  <si>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</si>
  <si>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</si>
  <si>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</si>
  <si>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その他</t>
  </si>
  <si>
    <t>100ｇ当たり</t>
    <rPh sb="4" eb="5">
      <t>ア</t>
    </rPh>
    <phoneticPr fontId="16"/>
  </si>
  <si>
    <t>100g当たり</t>
    <phoneticPr fontId="16"/>
  </si>
  <si>
    <t>*糖質＝炭水化物－食物繊維</t>
    <phoneticPr fontId="2"/>
  </si>
  <si>
    <t>　必要な際は再表示にして使用してください。</t>
    <phoneticPr fontId="16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</si>
  <si>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</si>
  <si>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　ﾒｰﾙに貼り付ける。(AM14～AQ19ｾﾙ)</t>
    <rPh sb="5" eb="6">
      <t>ハ</t>
    </rPh>
    <rPh sb="7" eb="8">
      <t>ツ</t>
    </rPh>
    <phoneticPr fontId="2"/>
  </si>
  <si>
    <t>確認者：</t>
  </si>
  <si>
    <t>分類</t>
    <rPh sb="0" eb="2">
      <t>ブンルイ</t>
    </rPh>
    <phoneticPr fontId="1"/>
  </si>
  <si>
    <t>個</t>
    <rPh sb="0" eb="1">
      <t>コ</t>
    </rPh>
    <phoneticPr fontId="16"/>
  </si>
  <si>
    <t>計算者：</t>
    <phoneticPr fontId="16"/>
  </si>
  <si>
    <t>HP対応</t>
    <rPh sb="2" eb="4">
      <t>タイオウ</t>
    </rPh>
    <phoneticPr fontId="16"/>
  </si>
  <si>
    <t>＊上記の内容は社外秘のため。転載・外部へのご提出の際は事前に表示課までご連絡下さい。</t>
    <rPh sb="1" eb="3">
      <t>ジョウキ</t>
    </rPh>
    <rPh sb="7" eb="10">
      <t>シャガイヒ</t>
    </rPh>
    <rPh sb="17" eb="19">
      <t>ガイブ</t>
    </rPh>
    <rPh sb="22" eb="24">
      <t>テイシュツ</t>
    </rPh>
    <rPh sb="25" eb="26">
      <t>サイ</t>
    </rPh>
    <phoneticPr fontId="16"/>
  </si>
  <si>
    <t>年月日</t>
    <rPh sb="0" eb="1">
      <t>ネン</t>
    </rPh>
    <rPh sb="1" eb="2">
      <t>ガツ</t>
    </rPh>
    <rPh sb="2" eb="3">
      <t>ニチ</t>
    </rPh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</si>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</sst>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_ ;[Red]\-0.0\ "/>
    <numFmt numFmtId="187" formatCode="0.00;\-0.00;0;@"/>
    <numFmt numFmtId="188" formatCode="yyyy&quot;年&quot;m&quot;月&quot;d&quot;日&quot;;@"/>
  </numFmts>
  <fonts count="44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rgb="FF0070C0"/>
      <name val="ＭＳ 明朝"/>
      <family val="1"/>
      <charset val="128"/>
    </font>
    <font>
      <sz val="14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0" fontId="1" fillId="0" borderId="0"/>
    <xf numFmtId="0" fontId="43" fillId="0" borderId="0">
      <alignment vertical="center"/>
    </xf>
  </cellStyleXfs>
  <cellXfs count="211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176" fontId="3" fillId="0" borderId="11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11" fillId="0" borderId="0" xfId="4" applyFont="1"/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6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7" fillId="0" borderId="0" xfId="4" applyNumberFormat="1" applyFont="1" applyAlignment="1" applyProtection="1">
      <alignment horizontal="left"/>
      <protection locked="0"/>
    </xf>
    <xf numFmtId="0" fontId="28" fillId="0" borderId="0" xfId="0" applyFont="1"/>
    <xf numFmtId="0" fontId="29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3" fontId="4" fillId="0" borderId="0" xfId="2" applyNumberFormat="1" applyFont="1" applyProtection="1">
      <protection locked="0"/>
    </xf>
    <xf numFmtId="183" fontId="4" fillId="0" borderId="0" xfId="2" applyNumberFormat="1" applyFont="1" applyBorder="1" applyProtection="1">
      <protection locked="0"/>
    </xf>
    <xf numFmtId="183" fontId="4" fillId="0" borderId="2" xfId="2" applyNumberFormat="1" applyFont="1" applyBorder="1" applyProtection="1">
      <protection locked="0"/>
    </xf>
    <xf numFmtId="183" fontId="4" fillId="0" borderId="14" xfId="2" applyNumberFormat="1" applyFont="1" applyBorder="1" applyAlignment="1" applyProtection="1">
      <alignment horizontal="right"/>
      <protection locked="0"/>
    </xf>
    <xf numFmtId="183" fontId="4" fillId="0" borderId="16" xfId="2" applyNumberFormat="1" applyFont="1" applyBorder="1" applyProtection="1">
      <protection locked="0"/>
    </xf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1" fillId="0" borderId="0" xfId="4" applyNumberFormat="1" applyFont="1" applyProtection="1">
      <protection locked="0"/>
    </xf>
    <xf numFmtId="2" fontId="32" fillId="0" borderId="20" xfId="4" applyFont="1" applyBorder="1"/>
    <xf numFmtId="179" fontId="33" fillId="0" borderId="21" xfId="4" applyNumberFormat="1" applyFont="1" applyBorder="1"/>
    <xf numFmtId="178" fontId="33" fillId="0" borderId="20" xfId="4" applyNumberFormat="1" applyFont="1" applyBorder="1"/>
    <xf numFmtId="178" fontId="33" fillId="0" borderId="17" xfId="4" applyNumberFormat="1" applyFont="1" applyBorder="1"/>
    <xf numFmtId="180" fontId="33" fillId="0" borderId="20" xfId="4" applyNumberFormat="1" applyFont="1" applyBorder="1"/>
    <xf numFmtId="180" fontId="33" fillId="0" borderId="17" xfId="4" applyNumberFormat="1" applyFont="1" applyBorder="1"/>
    <xf numFmtId="179" fontId="33" fillId="0" borderId="22" xfId="4" applyNumberFormat="1" applyFont="1" applyBorder="1"/>
    <xf numFmtId="176" fontId="33" fillId="0" borderId="2" xfId="4" applyNumberFormat="1" applyFont="1" applyBorder="1" applyAlignment="1" applyProtection="1">
      <alignment horizontal="right"/>
      <protection locked="0"/>
    </xf>
    <xf numFmtId="176" fontId="33" fillId="0" borderId="3" xfId="4" applyNumberFormat="1" applyFont="1" applyBorder="1" applyAlignment="1" applyProtection="1">
      <alignment horizontal="right"/>
      <protection locked="0"/>
    </xf>
    <xf numFmtId="176" fontId="33" fillId="0" borderId="1" xfId="4" applyNumberFormat="1" applyFont="1" applyBorder="1" applyAlignment="1" applyProtection="1">
      <alignment horizontal="right"/>
      <protection locked="0"/>
    </xf>
    <xf numFmtId="176" fontId="33" fillId="0" borderId="15" xfId="4" applyNumberFormat="1" applyFont="1" applyBorder="1" applyAlignment="1" applyProtection="1">
      <alignment horizontal="right"/>
      <protection locked="0"/>
    </xf>
    <xf numFmtId="0" fontId="34" fillId="0" borderId="14" xfId="0" applyFont="1" applyBorder="1" applyProtection="1">
      <protection locked="0"/>
    </xf>
    <xf numFmtId="185" fontId="34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5" fillId="0" borderId="0" xfId="4" applyFont="1"/>
    <xf numFmtId="2" fontId="3" fillId="4" borderId="0" xfId="4" applyNumberFormat="1" applyFont="1" applyFill="1" applyAlignment="1" applyProtection="1">
      <alignment horizontal="left"/>
    </xf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2" fontId="3" fillId="6" borderId="24" xfId="4" applyNumberFormat="1" applyFont="1" applyFill="1" applyBorder="1" applyAlignment="1" applyProtection="1">
      <alignment horizontal="center"/>
      <protection locked="0"/>
    </xf>
    <xf numFmtId="49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2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1" fontId="34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6" fontId="4" fillId="4" borderId="29" xfId="1" applyNumberFormat="1" applyFont="1" applyFill="1" applyBorder="1" applyProtection="1">
      <protection locked="0"/>
    </xf>
    <xf numFmtId="187" fontId="9" fillId="0" borderId="13" xfId="4" applyNumberFormat="1" applyFont="1" applyBorder="1" applyAlignment="1">
      <alignment horizontal="center"/>
    </xf>
    <xf numFmtId="2" fontId="36" fillId="0" borderId="0" xfId="4" applyNumberFormat="1" applyFont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7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8" fillId="7" borderId="33" xfId="4" applyFont="1" applyFill="1" applyBorder="1"/>
    <xf numFmtId="178" fontId="38" fillId="7" borderId="12" xfId="4" applyNumberFormat="1" applyFont="1" applyFill="1" applyBorder="1" applyAlignment="1">
      <alignment horizontal="center"/>
    </xf>
    <xf numFmtId="2" fontId="38" fillId="7" borderId="35" xfId="4" applyFont="1" applyFill="1" applyBorder="1"/>
    <xf numFmtId="178" fontId="38" fillId="7" borderId="13" xfId="4" applyNumberFormat="1" applyFont="1" applyFill="1" applyBorder="1" applyAlignment="1">
      <alignment horizontal="center"/>
    </xf>
    <xf numFmtId="2" fontId="38" fillId="7" borderId="37" xfId="4" applyFont="1" applyFill="1" applyBorder="1"/>
    <xf numFmtId="178" fontId="38" fillId="7" borderId="38" xfId="4" applyNumberFormat="1" applyFont="1" applyFill="1" applyBorder="1" applyAlignment="1">
      <alignment horizontal="center"/>
    </xf>
    <xf numFmtId="2" fontId="39" fillId="7" borderId="0" xfId="4" applyFont="1" applyFill="1" applyBorder="1"/>
    <xf numFmtId="2" fontId="40" fillId="7" borderId="0" xfId="4" applyFont="1" applyFill="1" applyBorder="1" applyAlignment="1">
      <alignment horizontal="center"/>
    </xf>
    <xf numFmtId="187" fontId="40" fillId="7" borderId="0" xfId="4" applyNumberFormat="1" applyFont="1" applyFill="1" applyBorder="1" applyAlignment="1">
      <alignment horizontal="center"/>
    </xf>
    <xf numFmtId="2" fontId="40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8" fillId="7" borderId="34" xfId="4" applyFont="1" applyFill="1" applyBorder="1" applyAlignment="1">
      <alignment horizontal="center"/>
    </xf>
    <xf numFmtId="2" fontId="38" fillId="7" borderId="36" xfId="4" applyFont="1" applyFill="1" applyBorder="1" applyAlignment="1">
      <alignment horizontal="center"/>
    </xf>
    <xf numFmtId="2" fontId="38" fillId="7" borderId="39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2" fontId="3" fillId="6" borderId="25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0" fontId="23" fillId="0" borderId="0" xfId="0" applyFont="1"/>
    <xf numFmtId="2" fontId="30" fillId="0" borderId="0" xfId="4" applyNumberFormat="1" applyFont="1" applyProtection="1">
      <protection locked="0"/>
    </xf>
    <xf numFmtId="2" fontId="41" fillId="0" borderId="0" xfId="4" applyNumberFormat="1" applyFont="1" applyProtection="1">
      <protection locked="0"/>
    </xf>
    <xf numFmtId="176" fontId="4" fillId="8" borderId="14" xfId="4" applyNumberFormat="1" applyFont="1" applyFill="1" applyBorder="1" applyProtection="1">
      <protection locked="0"/>
    </xf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0" fillId="0" borderId="16" xfId="4" applyNumberFormat="1" applyFont="1" applyBorder="1" applyProtection="1">
      <protection locked="0"/>
    </xf>
    <xf numFmtId="2" fontId="23" fillId="0" borderId="0" xfId="4" applyFont="1" applyBorder="1" applyAlignment="1"/>
    <xf numFmtId="176" fontId="4" fillId="0" borderId="44" xfId="4" applyNumberFormat="1" applyFont="1" applyBorder="1" applyProtection="1">
      <protection locked="0"/>
    </xf>
    <xf numFmtId="2" fontId="4" fillId="4" borderId="44" xfId="4" applyNumberFormat="1" applyFont="1" applyFill="1" applyBorder="1" applyProtection="1">
      <protection locked="0"/>
    </xf>
    <xf numFmtId="2" fontId="4" fillId="0" borderId="44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4" xfId="5" applyNumberFormat="1" applyFont="1" applyFill="1" applyBorder="1" applyAlignment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2" fontId="3" fillId="6" borderId="27" xfId="4" applyNumberFormat="1" applyFont="1" applyFill="1" applyBorder="1" applyAlignment="1" applyProtection="1">
      <alignment horizontal="center"/>
    </xf>
    <xf numFmtId="0" fontId="4" fillId="0" borderId="25" xfId="2" applyNumberFormat="1" applyFont="1" applyBorder="1" applyAlignment="1" applyProtection="1">
      <alignment horizontal="center" shrinkToFit="1"/>
      <protection locked="0"/>
    </xf>
    <xf numFmtId="0" fontId="4" fillId="0" borderId="26" xfId="2" applyNumberFormat="1" applyFont="1" applyBorder="1" applyAlignment="1" applyProtection="1">
      <alignment horizontal="center" shrinkToFit="1"/>
      <protection locked="0"/>
    </xf>
    <xf numFmtId="0" fontId="4" fillId="0" borderId="27" xfId="2" applyNumberFormat="1" applyFont="1" applyBorder="1" applyAlignment="1" applyProtection="1">
      <alignment horizontal="center" shrinkToFit="1"/>
      <protection locked="0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0" fontId="6" fillId="0" borderId="0" xfId="0" applyFont="1" applyFill="1" applyBorder="1" applyAlignment="1">
      <alignment horizontal="left"/>
    </xf>
    <xf numFmtId="2" fontId="17" fillId="0" borderId="0" xfId="4" applyFont="1" applyFill="1" applyBorder="1" applyAlignment="1">
      <alignment vertical="center"/>
    </xf>
    <xf numFmtId="2" fontId="7" fillId="0" borderId="1" xfId="4" applyFont="1" applyBorder="1" applyAlignment="1">
      <alignment horizontal="left" shrinkToFit="1"/>
    </xf>
    <xf numFmtId="2" fontId="17" fillId="7" borderId="40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1" xfId="4" applyFont="1" applyFill="1" applyBorder="1" applyAlignment="1">
      <alignment horizontal="left"/>
    </xf>
    <xf numFmtId="2" fontId="5" fillId="0" borderId="0" xfId="4" applyFont="1"/>
  </cellXfs>
  <cellStyles count="9">
    <cellStyle name="パーセント" xfId="5" builtinId="5"/>
    <cellStyle name="桁区切り" xfId="1" builtinId="6"/>
    <cellStyle name="桁区切り 2" xfId="2"/>
    <cellStyle name="桁区切り 2 2" xfId="6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  <color rgb="FFFFFF99"/>
      <color rgb="FFCCFFFF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../../&#26628;&#39178;&#25104;&#20998;&#20998;&#26512;/&#9678;&#20998;&#26512;&#32080;&#26524;&#19968;&#35239;.xls" TargetMode="External"/><Relationship Id="rId1" Type="http://schemas.openxmlformats.org/officeDocument/2006/relationships/hyperlink" Target="../../2025&#26628;&#39178;&#35336;&#31639;&#21463;&#20184;&#29366;&#27841;.xlsm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598715</xdr:colOff>
      <xdr:row>4</xdr:row>
      <xdr:rowOff>0</xdr:rowOff>
    </xdr:from>
    <xdr:to>
      <xdr:col>41</xdr:col>
      <xdr:colOff>258536</xdr:colOff>
      <xdr:row>5</xdr:row>
      <xdr:rowOff>258536</xdr:rowOff>
    </xdr:to>
    <xdr:sp macro="" textlink="">
      <xdr:nvSpPr>
        <xdr:cNvPr id="2" name="フローチャート : 代替処理 1">
          <a:hlinkClick xmlns:r="http://schemas.openxmlformats.org/officeDocument/2006/relationships" r:id="rId1"/>
        </xdr:cNvPr>
        <xdr:cNvSpPr/>
      </xdr:nvSpPr>
      <xdr:spPr bwMode="auto">
        <a:xfrm>
          <a:off x="21621751" y="870857"/>
          <a:ext cx="2217964" cy="476250"/>
        </a:xfrm>
        <a:prstGeom prst="flowChartAlternateProcess">
          <a:avLst/>
        </a:pr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en-US" altLang="ja-JP" sz="1200"/>
            <a:t>2025</a:t>
          </a:r>
          <a:r>
            <a:rPr kumimoji="1" lang="ja-JP" altLang="en-US" sz="1200"/>
            <a:t>栄養成分受付状況</a:t>
          </a:r>
        </a:p>
      </xdr:txBody>
    </xdr:sp>
    <xdr:clientData/>
  </xdr:twoCellAnchor>
  <xdr:twoCellAnchor>
    <xdr:from>
      <xdr:col>37</xdr:col>
      <xdr:colOff>598714</xdr:colOff>
      <xdr:row>6</xdr:row>
      <xdr:rowOff>81643</xdr:rowOff>
    </xdr:from>
    <xdr:to>
      <xdr:col>41</xdr:col>
      <xdr:colOff>258535</xdr:colOff>
      <xdr:row>8</xdr:row>
      <xdr:rowOff>27214</xdr:rowOff>
    </xdr:to>
    <xdr:sp macro="" textlink="">
      <xdr:nvSpPr>
        <xdr:cNvPr id="3" name="フローチャート : 代替処理 2">
          <a:hlinkClick xmlns:r="http://schemas.openxmlformats.org/officeDocument/2006/relationships" r:id="rId2"/>
        </xdr:cNvPr>
        <xdr:cNvSpPr/>
      </xdr:nvSpPr>
      <xdr:spPr bwMode="auto">
        <a:xfrm>
          <a:off x="21621750" y="1442357"/>
          <a:ext cx="2217964" cy="476250"/>
        </a:xfrm>
        <a:prstGeom prst="flowChartAlternateProcess">
          <a:avLst/>
        </a:prstGeom>
        <a:solidFill>
          <a:srgbClr val="CC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kumimoji="1" lang="ja-JP" altLang="en-US" sz="1200"/>
            <a:t>分析結果一覧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104775</xdr:rowOff>
        </xdr:from>
        <xdr:to>
          <xdr:col>38</xdr:col>
          <xdr:colOff>390525</xdr:colOff>
          <xdr:row>11</xdr:row>
          <xdr:rowOff>85725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19050</xdr:rowOff>
        </xdr:from>
        <xdr:to>
          <xdr:col>38</xdr:col>
          <xdr:colOff>342900</xdr:colOff>
          <xdr:row>12</xdr:row>
          <xdr:rowOff>19050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86</xdr:row>
          <xdr:rowOff>133350</xdr:rowOff>
        </xdr:from>
        <xdr:to>
          <xdr:col>18</xdr:col>
          <xdr:colOff>9525</xdr:colOff>
          <xdr:row>87</xdr:row>
          <xdr:rowOff>161925</xdr:rowOff>
        </xdr:to>
        <xdr:sp macro="" textlink="">
          <xdr:nvSpPr>
            <xdr:cNvPr id="1027" name="cmdCopy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86</xdr:row>
          <xdr:rowOff>133350</xdr:rowOff>
        </xdr:from>
        <xdr:to>
          <xdr:col>26</xdr:col>
          <xdr:colOff>104775</xdr:colOff>
          <xdr:row>87</xdr:row>
          <xdr:rowOff>171450</xdr:rowOff>
        </xdr:to>
        <xdr:sp macro="" textlink="">
          <xdr:nvSpPr>
            <xdr:cNvPr id="1028" name="cmdClear87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103</xdr:row>
          <xdr:rowOff>152400</xdr:rowOff>
        </xdr:from>
        <xdr:to>
          <xdr:col>18</xdr:col>
          <xdr:colOff>9525</xdr:colOff>
          <xdr:row>104</xdr:row>
          <xdr:rowOff>171450</xdr:rowOff>
        </xdr:to>
        <xdr:sp macro="" textlink="">
          <xdr:nvSpPr>
            <xdr:cNvPr id="1029" name="cmdCopy10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103</xdr:row>
          <xdr:rowOff>152400</xdr:rowOff>
        </xdr:from>
        <xdr:to>
          <xdr:col>26</xdr:col>
          <xdr:colOff>104775</xdr:colOff>
          <xdr:row>104</xdr:row>
          <xdr:rowOff>171450</xdr:rowOff>
        </xdr:to>
        <xdr:sp macro="" textlink="">
          <xdr:nvSpPr>
            <xdr:cNvPr id="1030" name="cmdClear10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819150</xdr:colOff>
          <xdr:row>4</xdr:row>
          <xdr:rowOff>57150</xdr:rowOff>
        </xdr:from>
        <xdr:to>
          <xdr:col>43</xdr:col>
          <xdr:colOff>638175</xdr:colOff>
          <xdr:row>6</xdr:row>
          <xdr:rowOff>0</xdr:rowOff>
        </xdr:to>
        <xdr:sp macro="" textlink="">
          <xdr:nvSpPr>
            <xdr:cNvPr id="1031" name="cmdCopy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8"/>
  <dimension ref="A1:AQ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8" customWidth="1"/>
    <col min="13" max="13" width="10.625" style="3"/>
    <col min="14" max="14" width="5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4" customWidth="1"/>
    <col min="40" max="40" width="3" style="34" customWidth="1"/>
    <col min="41" max="41" width="16" style="34" hidden="1" customWidth="1"/>
    <col min="42" max="42" width="19.875" style="34" customWidth="1"/>
    <col min="43" max="43" width="5.125" style="34" customWidth="1"/>
    <col min="44" max="16384" width="10.625" style="3"/>
  </cols>
  <sheetData>
    <row r="1" spans="1:43" x14ac:dyDescent="0.2">
      <c r="A1" s="1" t="s">
        <v>0</v>
      </c>
      <c r="B1" s="2"/>
      <c r="C1" s="2"/>
      <c r="D1" s="85"/>
      <c r="E1" s="2"/>
      <c r="F1" s="2"/>
      <c r="G1" s="2"/>
      <c r="H1" s="2"/>
      <c r="I1" s="2"/>
      <c r="J1" s="2"/>
      <c r="K1" s="2"/>
      <c r="L1" s="97"/>
      <c r="M1" s="3" t="s">
        <v>93</v>
      </c>
      <c r="AA1" s="2" t="s">
        <v>70</v>
      </c>
    </row>
    <row r="2" spans="1:43" x14ac:dyDescent="0.2">
      <c r="A2" s="122" t="s">
        <v>81</v>
      </c>
      <c r="B2" s="2"/>
      <c r="C2" s="177" t="str">
        <f>IF((COUNTIF($G$4,"食ﾊﾟﾝ"))+SUM(COUNTIF(A6,{"*型*","*食*","*ﾌﾞﾚｯﾄ*","*小麦*"}))+COUNTIFS(G6,"枚",A6,"&lt;&gt;*ﾊﾟﾝｹｰｷ*"),("＊食ﾊﾟﾝの食塩相当量は小数点１桁表示です。食ﾊﾟﾝの計算表を利用ください。"),(""))</f>
        <v/>
      </c>
      <c r="D2" s="85"/>
      <c r="E2" s="2"/>
      <c r="F2" s="2"/>
      <c r="G2" s="2"/>
      <c r="H2" s="2"/>
      <c r="I2" s="2"/>
      <c r="J2" s="2"/>
      <c r="K2" s="2"/>
      <c r="L2" s="97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1:43" x14ac:dyDescent="0.2">
      <c r="A3" s="1" t="s">
        <v>63</v>
      </c>
      <c r="B3" s="2"/>
      <c r="C3" s="178" t="str">
        <f>IF(SUM(COUNTIF($G$4,{"SEJ様","冷凍生地","FM様"}))+SUM(COUNTIF(A6,{"*SEJ*","*7P*","*冷凍生地*","*FM*","*LW様*","*LAW様*"})),("＊7P、冷凍生地、FM様、LW様は糖質・食物繊維を算出します。糖質・食物繊維の計算表を利用ください。"),(""))</f>
        <v/>
      </c>
      <c r="D3" s="85"/>
      <c r="E3" s="2"/>
      <c r="F3" s="2"/>
      <c r="G3" s="2"/>
      <c r="H3" s="2"/>
      <c r="I3" s="2"/>
      <c r="J3" s="2"/>
      <c r="K3" s="2"/>
      <c r="L3" s="97"/>
      <c r="AA3" s="34"/>
      <c r="AB3" s="34"/>
      <c r="AC3" s="34"/>
      <c r="AD3" s="34"/>
      <c r="AE3" s="34"/>
      <c r="AF3" s="34"/>
      <c r="AG3" s="34"/>
      <c r="AH3" s="34"/>
      <c r="AI3" s="34"/>
      <c r="AJ3" s="34"/>
    </row>
    <row r="4" spans="1:43" x14ac:dyDescent="0.2">
      <c r="A4" s="124" t="s">
        <v>82</v>
      </c>
      <c r="B4" s="2"/>
      <c r="D4" s="2"/>
      <c r="E4" s="2"/>
      <c r="F4" s="169" t="s">
        <v>90</v>
      </c>
      <c r="G4" s="190"/>
      <c r="H4" s="191"/>
      <c r="I4" s="2"/>
      <c r="J4" s="2"/>
      <c r="K4" s="2"/>
      <c r="L4" s="97"/>
      <c r="AA4" s="34"/>
      <c r="AB4" s="34"/>
      <c r="AC4" s="34"/>
      <c r="AD4" s="34"/>
      <c r="AE4" s="34"/>
      <c r="AF4" s="34"/>
      <c r="AG4" s="34"/>
      <c r="AH4" s="34"/>
      <c r="AI4" s="34"/>
      <c r="AJ4" s="34"/>
    </row>
    <row r="5" spans="1:43" x14ac:dyDescent="0.2">
      <c r="A5" s="196" t="s">
        <v>1</v>
      </c>
      <c r="B5" s="197"/>
      <c r="C5" s="197"/>
      <c r="D5" s="197"/>
      <c r="E5" s="198"/>
      <c r="F5" s="125" t="s">
        <v>66</v>
      </c>
      <c r="G5" s="125" t="s">
        <v>67</v>
      </c>
      <c r="H5" s="125" t="s">
        <v>68</v>
      </c>
      <c r="I5" s="162" t="s">
        <v>95</v>
      </c>
      <c r="J5" s="2"/>
      <c r="K5" s="2" t="s">
        <v>92</v>
      </c>
      <c r="L5" s="97"/>
      <c r="AA5" s="34"/>
      <c r="AB5" s="34"/>
      <c r="AC5" s="34"/>
      <c r="AD5" s="34"/>
      <c r="AE5" s="34"/>
      <c r="AF5" s="34"/>
      <c r="AG5" s="34"/>
      <c r="AH5" s="34"/>
      <c r="AI5" s="34" t="str">
        <f>$I$5</f>
        <v>年月日</v>
      </c>
      <c r="AJ5" s="34"/>
      <c r="AM5" s="75"/>
      <c r="AN5" s="75"/>
      <c r="AO5" s="75"/>
      <c r="AP5" s="75"/>
      <c r="AQ5" s="75"/>
    </row>
    <row r="6" spans="1:43" ht="21" x14ac:dyDescent="0.2">
      <c r="A6" s="199"/>
      <c r="B6" s="200"/>
      <c r="C6" s="200"/>
      <c r="D6" s="200"/>
      <c r="E6" s="201"/>
      <c r="F6" s="126"/>
      <c r="G6" s="127" t="s">
        <v>91</v>
      </c>
      <c r="H6" s="128"/>
      <c r="I6" s="4"/>
      <c r="J6" s="32"/>
      <c r="K6" s="32" t="s">
        <v>89</v>
      </c>
      <c r="L6" s="98"/>
      <c r="AA6" s="34"/>
      <c r="AB6" s="34"/>
      <c r="AC6" s="34"/>
      <c r="AD6" s="34"/>
      <c r="AE6" s="34"/>
      <c r="AF6" s="35"/>
      <c r="AG6" s="35"/>
      <c r="AH6" s="34"/>
      <c r="AI6" s="34"/>
      <c r="AJ6" s="34"/>
      <c r="AM6" s="75"/>
      <c r="AN6" s="75"/>
      <c r="AO6" s="141"/>
      <c r="AP6" s="141"/>
      <c r="AQ6" s="75"/>
    </row>
    <row r="7" spans="1:43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64</v>
      </c>
      <c r="K7" s="132" t="s">
        <v>65</v>
      </c>
      <c r="L7" s="133" t="s">
        <v>49</v>
      </c>
      <c r="AA7" s="36" t="s">
        <v>31</v>
      </c>
      <c r="AB7" s="206" t="e">
        <f>IF(COUNTIF($F$6,"1"),CONCATENATE($A$6,"(",$H$6,")"),CONCATENATE($A$6,$F$6,$G$6,"入","(",$H$6,")"))</f>
        <v>#VALUE!</v>
      </c>
      <c r="AC7" s="206"/>
      <c r="AD7" s="206"/>
      <c r="AE7" s="206"/>
      <c r="AF7" s="206"/>
      <c r="AG7" s="206"/>
      <c r="AH7" s="206"/>
      <c r="AI7" s="206"/>
      <c r="AJ7" s="34"/>
      <c r="AM7" s="142"/>
      <c r="AN7" s="75"/>
      <c r="AO7" s="75"/>
      <c r="AP7" s="75"/>
      <c r="AQ7" s="75"/>
    </row>
    <row r="8" spans="1:43" x14ac:dyDescent="0.2">
      <c r="A8" s="118"/>
      <c r="B8" s="119"/>
      <c r="C8" s="120"/>
      <c r="D8" s="120"/>
      <c r="E8" s="120"/>
      <c r="F8" s="120"/>
      <c r="G8" s="120"/>
      <c r="H8" s="120"/>
      <c r="I8" s="120"/>
      <c r="J8" s="120"/>
      <c r="K8" s="120"/>
      <c r="L8" s="120"/>
      <c r="M8" s="3">
        <f t="shared" ref="M8:M37" si="0">SUM(C8:H8)</f>
        <v>0</v>
      </c>
      <c r="AJ8" s="34"/>
    </row>
    <row r="9" spans="1:43" x14ac:dyDescent="0.2">
      <c r="A9" s="118"/>
      <c r="B9" s="119"/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3">
        <f t="shared" si="0"/>
        <v>0</v>
      </c>
      <c r="AA9" s="34"/>
      <c r="AB9" s="34"/>
      <c r="AC9" s="34"/>
      <c r="AD9" s="34"/>
      <c r="AE9" s="34"/>
      <c r="AF9" s="34"/>
      <c r="AG9" s="34"/>
      <c r="AH9" s="34"/>
      <c r="AI9" s="34"/>
      <c r="AJ9" s="34"/>
    </row>
    <row r="10" spans="1:43" x14ac:dyDescent="0.2">
      <c r="A10" s="118"/>
      <c r="B10" s="119"/>
      <c r="C10" s="120"/>
      <c r="D10" s="120"/>
      <c r="E10" s="120"/>
      <c r="F10" s="120"/>
      <c r="G10" s="120"/>
      <c r="H10" s="120"/>
      <c r="I10" s="120"/>
      <c r="J10" s="120"/>
      <c r="K10" s="120"/>
      <c r="L10" s="120"/>
      <c r="M10" s="3">
        <f t="shared" si="0"/>
        <v>0</v>
      </c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M10" s="143" t="s">
        <v>71</v>
      </c>
      <c r="AN10" s="143"/>
      <c r="AO10" s="143"/>
      <c r="AP10" s="143"/>
      <c r="AQ10" s="143"/>
    </row>
    <row r="11" spans="1:43" x14ac:dyDescent="0.2">
      <c r="A11" s="118"/>
      <c r="B11" s="119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3">
        <f t="shared" si="0"/>
        <v>0</v>
      </c>
      <c r="AB11" s="34"/>
      <c r="AC11" s="34"/>
      <c r="AD11" s="34"/>
      <c r="AE11" s="34"/>
      <c r="AF11" s="34"/>
      <c r="AG11" s="34"/>
      <c r="AH11" s="34"/>
      <c r="AI11" s="34"/>
      <c r="AJ11" s="34"/>
      <c r="AM11" s="34" t="s">
        <v>72</v>
      </c>
      <c r="AQ11" s="144" t="b">
        <v>0</v>
      </c>
    </row>
    <row r="12" spans="1:43" ht="27.75" customHeight="1" x14ac:dyDescent="0.25">
      <c r="A12" s="118"/>
      <c r="B12" s="119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3">
        <f t="shared" si="0"/>
        <v>0</v>
      </c>
      <c r="AA12" s="36" t="s">
        <v>39</v>
      </c>
      <c r="AB12" s="34"/>
      <c r="AC12" s="34"/>
      <c r="AD12" s="37"/>
      <c r="AE12" s="202" t="s">
        <v>59</v>
      </c>
      <c r="AF12" s="91"/>
      <c r="AG12" s="205" t="str">
        <f>"1"&amp;$G$6&amp;"当たり"</f>
        <v>1個当たり</v>
      </c>
      <c r="AH12" s="205"/>
      <c r="AI12" s="205"/>
      <c r="AJ12" s="33"/>
      <c r="AK12" s="195" t="s">
        <v>45</v>
      </c>
      <c r="AM12" s="37" t="s">
        <v>73</v>
      </c>
      <c r="AQ12" s="144" t="b">
        <v>0</v>
      </c>
    </row>
    <row r="13" spans="1:43" ht="25.5" thickBot="1" x14ac:dyDescent="0.3">
      <c r="A13" s="118"/>
      <c r="B13" s="119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3">
        <f t="shared" si="0"/>
        <v>0</v>
      </c>
      <c r="AA13" s="34"/>
      <c r="AB13" s="34"/>
      <c r="AC13" s="34"/>
      <c r="AD13" s="38"/>
      <c r="AE13" s="203"/>
      <c r="AF13" s="37"/>
      <c r="AG13" s="39">
        <f>ROUND(+$B$102,0)</f>
        <v>100</v>
      </c>
      <c r="AH13" s="40" t="s">
        <v>33</v>
      </c>
      <c r="AI13" s="39"/>
      <c r="AJ13" s="41"/>
      <c r="AK13" s="195"/>
      <c r="AN13" s="145"/>
      <c r="AO13" s="75"/>
      <c r="AP13" s="3"/>
      <c r="AQ13" s="75"/>
    </row>
    <row r="14" spans="1:43" s="22" customFormat="1" ht="22.5" x14ac:dyDescent="0.25">
      <c r="A14" s="118"/>
      <c r="B14" s="119"/>
      <c r="C14" s="120"/>
      <c r="D14" s="120"/>
      <c r="E14" s="120"/>
      <c r="F14" s="120"/>
      <c r="G14" s="120"/>
      <c r="H14" s="120"/>
      <c r="I14" s="120"/>
      <c r="J14" s="120"/>
      <c r="K14" s="120"/>
      <c r="L14" s="120"/>
      <c r="M14" s="3">
        <f t="shared" si="0"/>
        <v>0</v>
      </c>
      <c r="N14" s="3"/>
      <c r="Z14" s="135"/>
      <c r="AA14" s="70" t="s">
        <v>36</v>
      </c>
      <c r="AB14" s="42"/>
      <c r="AC14" s="43"/>
      <c r="AD14" s="43"/>
      <c r="AE14" s="44" t="e">
        <f>$C$108</f>
        <v>#DIV/0!</v>
      </c>
      <c r="AF14" s="45"/>
      <c r="AG14" s="44" t="e">
        <f>ROUND((AG15+AG17)*4+(AG16*9),0)</f>
        <v>#DIV/0!</v>
      </c>
      <c r="AH14" s="43" t="s">
        <v>50</v>
      </c>
      <c r="AI14" s="47"/>
      <c r="AJ14" s="42"/>
      <c r="AK14" s="104">
        <v>0</v>
      </c>
      <c r="AM14" s="146" t="s">
        <v>74</v>
      </c>
      <c r="AN14" s="192"/>
      <c r="AO14" s="192"/>
      <c r="AP14" s="192"/>
      <c r="AQ14" s="193"/>
    </row>
    <row r="15" spans="1:43" ht="22.5" x14ac:dyDescent="0.25">
      <c r="A15" s="118"/>
      <c r="B15" s="119"/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3">
        <f t="shared" si="0"/>
        <v>0</v>
      </c>
      <c r="AA15" s="71" t="s">
        <v>40</v>
      </c>
      <c r="AB15" s="46"/>
      <c r="AC15" s="43"/>
      <c r="AD15" s="43"/>
      <c r="AE15" s="47">
        <f>$D$104</f>
        <v>0</v>
      </c>
      <c r="AF15" s="45"/>
      <c r="AG15" s="47">
        <f>ROUND(($AG$13*AE15)/100,1)</f>
        <v>0</v>
      </c>
      <c r="AH15" s="43" t="s">
        <v>60</v>
      </c>
      <c r="AI15" s="47"/>
      <c r="AJ15" s="46"/>
      <c r="AK15" s="104">
        <v>1</v>
      </c>
      <c r="AM15" s="207" t="s">
        <v>75</v>
      </c>
      <c r="AN15" s="208"/>
      <c r="AO15" s="208"/>
      <c r="AP15" s="208"/>
      <c r="AQ15" s="209"/>
    </row>
    <row r="16" spans="1:43" ht="22.5" x14ac:dyDescent="0.25">
      <c r="A16" s="118"/>
      <c r="B16" s="119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22">
        <f t="shared" si="0"/>
        <v>0</v>
      </c>
      <c r="N16" s="22"/>
      <c r="AA16" s="71" t="s">
        <v>29</v>
      </c>
      <c r="AB16" s="43"/>
      <c r="AC16" s="43"/>
      <c r="AD16" s="43"/>
      <c r="AE16" s="47">
        <f>$E$104</f>
        <v>0</v>
      </c>
      <c r="AF16" s="45"/>
      <c r="AG16" s="47">
        <f>ROUND(($AG$13*AE16)/100,1)</f>
        <v>0</v>
      </c>
      <c r="AH16" s="43" t="s">
        <v>60</v>
      </c>
      <c r="AI16" s="47"/>
      <c r="AJ16" s="46"/>
      <c r="AK16" s="104">
        <v>1</v>
      </c>
      <c r="AM16" s="147"/>
      <c r="AN16" s="148"/>
      <c r="AO16" s="159" t="s">
        <v>84</v>
      </c>
      <c r="AP16" s="166" t="str">
        <f>"1"&amp;$G$6&amp;"当たり"</f>
        <v>1個当たり</v>
      </c>
      <c r="AQ16" s="163"/>
    </row>
    <row r="17" spans="1:43" ht="22.5" x14ac:dyDescent="0.25">
      <c r="A17" s="118"/>
      <c r="B17" s="119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3">
        <f t="shared" si="0"/>
        <v>0</v>
      </c>
      <c r="AA17" s="71" t="s">
        <v>26</v>
      </c>
      <c r="AB17" s="46"/>
      <c r="AC17" s="43"/>
      <c r="AD17" s="43"/>
      <c r="AE17" s="47" t="e">
        <f>$F$106</f>
        <v>#DIV/0!</v>
      </c>
      <c r="AF17" s="45"/>
      <c r="AG17" s="47" t="e">
        <f>ROUND(($AG$13*AE17)/100,1)</f>
        <v>#DIV/0!</v>
      </c>
      <c r="AH17" s="43" t="s">
        <v>60</v>
      </c>
      <c r="AI17" s="47"/>
      <c r="AJ17" s="46"/>
      <c r="AK17" s="104">
        <v>1</v>
      </c>
      <c r="AM17" s="149" t="s">
        <v>26</v>
      </c>
      <c r="AN17" s="150"/>
      <c r="AO17" s="160" t="e">
        <f>$F$106</f>
        <v>#DIV/0!</v>
      </c>
      <c r="AP17" s="167" t="e">
        <f>$AG$17</f>
        <v>#DIV/0!</v>
      </c>
      <c r="AQ17" s="164" t="s">
        <v>60</v>
      </c>
    </row>
    <row r="18" spans="1:43" ht="22.5" x14ac:dyDescent="0.25">
      <c r="A18" s="118"/>
      <c r="B18" s="119"/>
      <c r="C18" s="120"/>
      <c r="D18" s="120"/>
      <c r="E18" s="120"/>
      <c r="F18" s="120"/>
      <c r="G18" s="120"/>
      <c r="H18" s="120"/>
      <c r="I18" s="120"/>
      <c r="J18" s="120"/>
      <c r="K18" s="120"/>
      <c r="L18" s="120"/>
      <c r="M18" s="3">
        <f t="shared" ref="M18:M27" si="1">SUM(C18:H18)</f>
        <v>0</v>
      </c>
      <c r="AA18" s="71" t="s">
        <v>30</v>
      </c>
      <c r="AB18" s="46"/>
      <c r="AC18" s="43"/>
      <c r="AD18" s="43"/>
      <c r="AE18" s="139">
        <f>IF($AE$20&lt;4.5,0,ROUND($AE$20/1000*2.54,2))</f>
        <v>0</v>
      </c>
      <c r="AF18" s="45"/>
      <c r="AG18" s="139">
        <f>IF($AE$20&lt;4.5,0,ROUND($AG$20/1000*2.54,2))</f>
        <v>0</v>
      </c>
      <c r="AH18" s="43" t="s">
        <v>60</v>
      </c>
      <c r="AI18" s="48"/>
      <c r="AJ18" s="46"/>
      <c r="AK18" s="104">
        <f>IF($AE$20&lt;4.5,0,2)</f>
        <v>0</v>
      </c>
      <c r="AM18" s="149" t="s">
        <v>76</v>
      </c>
      <c r="AN18" s="150"/>
      <c r="AO18" s="160" t="e">
        <f>$F$104</f>
        <v>#DIV/0!</v>
      </c>
      <c r="AP18" s="167" t="e">
        <f>$AP$17-$AP$19</f>
        <v>#DIV/0!</v>
      </c>
      <c r="AQ18" s="164" t="s">
        <v>60</v>
      </c>
    </row>
    <row r="19" spans="1:43" ht="23.25" thickBot="1" x14ac:dyDescent="0.3">
      <c r="A19" s="118"/>
      <c r="B19" s="119"/>
      <c r="C19" s="120"/>
      <c r="D19" s="120"/>
      <c r="E19" s="120"/>
      <c r="F19" s="120"/>
      <c r="G19" s="120"/>
      <c r="H19" s="120"/>
      <c r="I19" s="120"/>
      <c r="J19" s="120"/>
      <c r="K19" s="120"/>
      <c r="L19" s="120"/>
      <c r="M19" s="3">
        <f t="shared" si="1"/>
        <v>0</v>
      </c>
      <c r="AA19" s="71"/>
      <c r="AB19" s="46"/>
      <c r="AC19" s="43"/>
      <c r="AD19" s="43"/>
      <c r="AE19" s="48"/>
      <c r="AF19" s="45"/>
      <c r="AG19" s="48"/>
      <c r="AH19" s="43"/>
      <c r="AI19" s="48"/>
      <c r="AJ19" s="46"/>
      <c r="AK19" s="105"/>
      <c r="AM19" s="151" t="s">
        <v>77</v>
      </c>
      <c r="AN19" s="152"/>
      <c r="AO19" s="161">
        <f>$G$104</f>
        <v>0</v>
      </c>
      <c r="AP19" s="168">
        <f>ROUND(($AG$13*$G$104)/100,1)</f>
        <v>0</v>
      </c>
      <c r="AQ19" s="165" t="s">
        <v>60</v>
      </c>
    </row>
    <row r="20" spans="1:43" ht="22.5" x14ac:dyDescent="0.25">
      <c r="A20" s="118"/>
      <c r="B20" s="119"/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3">
        <f t="shared" si="1"/>
        <v>0</v>
      </c>
      <c r="AA20" s="71" t="s">
        <v>38</v>
      </c>
      <c r="AB20" s="46"/>
      <c r="AC20" s="43"/>
      <c r="AD20" s="43"/>
      <c r="AE20" s="44">
        <f>$I$104</f>
        <v>0</v>
      </c>
      <c r="AF20" s="45"/>
      <c r="AG20" s="103">
        <f>ROUND(($AG$13*$AE$20)/100,0)</f>
        <v>0</v>
      </c>
      <c r="AH20" s="43" t="s">
        <v>61</v>
      </c>
      <c r="AI20" s="44"/>
      <c r="AJ20" s="46"/>
      <c r="AM20" s="153"/>
      <c r="AN20" s="155"/>
      <c r="AO20" s="156"/>
      <c r="AP20" s="155"/>
      <c r="AQ20" s="154"/>
    </row>
    <row r="21" spans="1:43" ht="22.5" x14ac:dyDescent="0.25">
      <c r="A21" s="118"/>
      <c r="B21" s="119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3">
        <f t="shared" si="1"/>
        <v>0</v>
      </c>
      <c r="AA21" s="71" t="s">
        <v>27</v>
      </c>
      <c r="AB21" s="49"/>
      <c r="AC21" s="50"/>
      <c r="AD21" s="50"/>
      <c r="AE21" s="51">
        <f>$C$104</f>
        <v>0</v>
      </c>
      <c r="AF21" s="52"/>
      <c r="AG21" s="51">
        <f>ROUND(($AG$13*$AE$21)/100,1)</f>
        <v>0</v>
      </c>
      <c r="AH21" s="50" t="s">
        <v>60</v>
      </c>
      <c r="AI21" s="51"/>
      <c r="AJ21" s="48"/>
      <c r="AM21" s="157" t="s">
        <v>78</v>
      </c>
      <c r="AN21" s="158"/>
      <c r="AO21" s="158"/>
      <c r="AP21" s="158"/>
      <c r="AQ21" s="158"/>
    </row>
    <row r="22" spans="1:43" ht="21.75" customHeight="1" x14ac:dyDescent="0.2">
      <c r="A22" s="118"/>
      <c r="B22" s="119"/>
      <c r="C22" s="120"/>
      <c r="D22" s="120"/>
      <c r="E22" s="120"/>
      <c r="F22" s="120"/>
      <c r="G22" s="120"/>
      <c r="H22" s="120"/>
      <c r="I22" s="120"/>
      <c r="J22" s="120"/>
      <c r="K22" s="120"/>
      <c r="L22" s="120"/>
      <c r="M22" s="3">
        <f t="shared" si="1"/>
        <v>0</v>
      </c>
      <c r="AA22" s="71" t="s">
        <v>28</v>
      </c>
      <c r="AB22" s="49"/>
      <c r="AC22" s="50"/>
      <c r="AD22" s="50"/>
      <c r="AE22" s="51">
        <f>$H$104</f>
        <v>0</v>
      </c>
      <c r="AF22" s="52"/>
      <c r="AG22" s="51">
        <f>ROUND(($AG$13*$AE$22)/100,1)</f>
        <v>0</v>
      </c>
      <c r="AH22" s="50" t="s">
        <v>60</v>
      </c>
      <c r="AI22" s="51"/>
      <c r="AJ22" s="49"/>
      <c r="AM22" s="157" t="s">
        <v>79</v>
      </c>
      <c r="AN22" s="157"/>
      <c r="AO22" s="157"/>
      <c r="AP22" s="157"/>
      <c r="AQ22" s="157"/>
    </row>
    <row r="23" spans="1:43" ht="22.5" x14ac:dyDescent="0.25">
      <c r="A23" s="118"/>
      <c r="B23" s="119"/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3">
        <f t="shared" si="1"/>
        <v>0</v>
      </c>
      <c r="Z23" s="135" t="str">
        <f>IF(AG23&lt;15,"","＊1")</f>
        <v/>
      </c>
      <c r="AA23" s="71" t="s">
        <v>34</v>
      </c>
      <c r="AB23" s="43"/>
      <c r="AC23" s="43"/>
      <c r="AD23" s="43"/>
      <c r="AE23" s="139">
        <f>$K$104</f>
        <v>0</v>
      </c>
      <c r="AF23" s="72"/>
      <c r="AG23" s="139">
        <f>ROUND(($AG$13*$AE$23)/100,2)</f>
        <v>0</v>
      </c>
      <c r="AH23" s="43" t="s">
        <v>60</v>
      </c>
      <c r="AI23" s="48"/>
      <c r="AJ23" s="46"/>
      <c r="AK23" s="104">
        <v>2</v>
      </c>
      <c r="AM23" s="158" t="s">
        <v>80</v>
      </c>
      <c r="AN23" s="157"/>
      <c r="AO23" s="157"/>
      <c r="AP23" s="157"/>
      <c r="AQ23" s="157"/>
    </row>
    <row r="24" spans="1:43" ht="22.5" x14ac:dyDescent="0.25">
      <c r="A24" s="118"/>
      <c r="B24" s="119"/>
      <c r="C24" s="120"/>
      <c r="D24" s="120"/>
      <c r="E24" s="120"/>
      <c r="F24" s="120"/>
      <c r="G24" s="120"/>
      <c r="H24" s="120"/>
      <c r="I24" s="120"/>
      <c r="J24" s="120"/>
      <c r="K24" s="120"/>
      <c r="L24" s="120"/>
      <c r="M24" s="3">
        <f t="shared" si="1"/>
        <v>0</v>
      </c>
      <c r="Z24" s="135" t="str">
        <f>IF(OR(AND(AG12="1包装当たり",AE24&gt;=0.3,AG24&gt;=0.45),AND(AG12&lt;&gt;"1包装当たり",AE24&gt;=0.3,AG24*VALUE(F6)&gt;=0.45),AE24&gt;=0.45,AND(AG12&lt;&gt;"1包装当たり",AG13&gt;=100,AG24*VALUE(F6)&gt;=0.45),AND(AG12="1包装当たり",AE24&gt;=0.3,AG24&gt;=0.45)),"＊2","")</f>
        <v/>
      </c>
      <c r="AA24" s="71" t="s">
        <v>41</v>
      </c>
      <c r="AB24" s="43"/>
      <c r="AC24" s="43"/>
      <c r="AD24" s="43"/>
      <c r="AE24" s="139">
        <f>$J$104</f>
        <v>0</v>
      </c>
      <c r="AF24" s="69"/>
      <c r="AG24" s="139">
        <f>ROUND(($AG$13*$AE$24)/100,2)</f>
        <v>0</v>
      </c>
      <c r="AH24" s="43" t="s">
        <v>60</v>
      </c>
      <c r="AI24" s="48"/>
      <c r="AJ24" s="46"/>
      <c r="AK24" s="104">
        <f>IF($AE$24=0,0,2)</f>
        <v>0</v>
      </c>
      <c r="AM24" s="158" t="s">
        <v>88</v>
      </c>
      <c r="AN24" s="157"/>
      <c r="AO24" s="157"/>
      <c r="AP24" s="157"/>
      <c r="AQ24" s="157"/>
    </row>
    <row r="25" spans="1:43" ht="22.9" customHeight="1" x14ac:dyDescent="0.25">
      <c r="A25" s="118"/>
      <c r="B25" s="119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3">
        <f t="shared" si="1"/>
        <v>0</v>
      </c>
      <c r="AA25" s="71" t="s">
        <v>37</v>
      </c>
      <c r="AB25" s="43"/>
      <c r="AC25" s="43"/>
      <c r="AD25" s="43"/>
      <c r="AE25" s="86">
        <f>$L$104</f>
        <v>0</v>
      </c>
      <c r="AF25" s="69"/>
      <c r="AG25" s="93">
        <f>ROUND(($AG$13*$AE$25)/100,0)</f>
        <v>0</v>
      </c>
      <c r="AH25" s="43" t="s">
        <v>61</v>
      </c>
      <c r="AI25" s="48"/>
      <c r="AJ25" s="46"/>
      <c r="AK25" s="104">
        <v>0</v>
      </c>
      <c r="AM25" s="158" t="s">
        <v>85</v>
      </c>
      <c r="AN25" s="157"/>
      <c r="AO25" s="157"/>
      <c r="AP25" s="157"/>
      <c r="AQ25" s="157"/>
    </row>
    <row r="26" spans="1:43" ht="22.9" customHeight="1" x14ac:dyDescent="0.2">
      <c r="A26" s="118"/>
      <c r="B26" s="119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3">
        <f t="shared" si="1"/>
        <v>0</v>
      </c>
      <c r="AM26" s="157" t="s">
        <v>87</v>
      </c>
      <c r="AN26" s="157"/>
      <c r="AO26" s="157"/>
      <c r="AP26" s="157"/>
      <c r="AQ26" s="157"/>
    </row>
    <row r="27" spans="1:43" ht="22.9" customHeight="1" x14ac:dyDescent="0.2">
      <c r="A27" s="118"/>
      <c r="B27" s="119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3">
        <f t="shared" si="1"/>
        <v>0</v>
      </c>
      <c r="AM27" s="157" t="s">
        <v>86</v>
      </c>
      <c r="AN27" s="157"/>
      <c r="AO27" s="157"/>
      <c r="AP27" s="157"/>
      <c r="AQ27" s="157"/>
    </row>
    <row r="28" spans="1:43" x14ac:dyDescent="0.2">
      <c r="A28" s="118"/>
      <c r="B28" s="119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3">
        <f t="shared" si="0"/>
        <v>0</v>
      </c>
      <c r="AM28" s="157"/>
      <c r="AN28" s="157"/>
      <c r="AO28" s="157"/>
      <c r="AP28" s="157"/>
      <c r="AQ28" s="157"/>
    </row>
    <row r="29" spans="1:43" x14ac:dyDescent="0.2">
      <c r="A29" s="118"/>
      <c r="B29" s="119"/>
      <c r="C29" s="120"/>
      <c r="D29" s="120"/>
      <c r="E29" s="120"/>
      <c r="F29" s="120"/>
      <c r="G29" s="120"/>
      <c r="H29" s="120"/>
      <c r="I29" s="120"/>
      <c r="J29" s="120"/>
      <c r="K29" s="120"/>
      <c r="L29" s="120"/>
      <c r="M29" s="3">
        <f t="shared" si="0"/>
        <v>0</v>
      </c>
    </row>
    <row r="30" spans="1:43" x14ac:dyDescent="0.2">
      <c r="A30" s="118"/>
      <c r="B30" s="119"/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3">
        <f t="shared" si="0"/>
        <v>0</v>
      </c>
      <c r="AA30" s="60"/>
      <c r="AB30" s="60"/>
      <c r="AC30" s="60"/>
      <c r="AD30" s="60"/>
      <c r="AE30" s="60"/>
      <c r="AF30" s="60"/>
      <c r="AG30" s="60"/>
      <c r="AH30" s="60"/>
      <c r="AI30" s="60"/>
      <c r="AJ30" s="60"/>
    </row>
    <row r="31" spans="1:43" ht="21" x14ac:dyDescent="0.2">
      <c r="A31" s="118"/>
      <c r="B31" s="119"/>
      <c r="C31" s="120"/>
      <c r="D31" s="120"/>
      <c r="E31" s="120"/>
      <c r="F31" s="120"/>
      <c r="G31" s="120"/>
      <c r="H31" s="120"/>
      <c r="I31" s="120"/>
      <c r="J31" s="120"/>
      <c r="K31" s="120"/>
      <c r="L31" s="120"/>
      <c r="M31" s="3">
        <f>SUM(C31:H31)</f>
        <v>0</v>
      </c>
      <c r="AA31" s="204" t="s">
        <v>53</v>
      </c>
      <c r="AB31" s="204"/>
      <c r="AC31" s="204"/>
      <c r="AD31" s="204"/>
      <c r="AE31" s="204"/>
      <c r="AF31" s="204"/>
      <c r="AG31" s="204"/>
      <c r="AH31" s="204"/>
      <c r="AI31" s="204"/>
      <c r="AJ31" s="204"/>
    </row>
    <row r="32" spans="1:43" x14ac:dyDescent="0.2">
      <c r="A32" s="118"/>
      <c r="B32" s="119"/>
      <c r="C32" s="120"/>
      <c r="D32" s="120"/>
      <c r="E32" s="120"/>
      <c r="F32" s="120"/>
      <c r="G32" s="120"/>
      <c r="H32" s="120"/>
      <c r="I32" s="120"/>
      <c r="J32" s="120"/>
      <c r="K32" s="120"/>
      <c r="L32" s="120"/>
      <c r="M32" s="3">
        <f>SUM(C32:H32)</f>
        <v>0</v>
      </c>
      <c r="AA32" s="83"/>
      <c r="AB32" s="34"/>
      <c r="AC32" s="210"/>
      <c r="AD32" s="210"/>
      <c r="AE32" s="34"/>
      <c r="AF32" s="34"/>
      <c r="AG32" s="34"/>
      <c r="AH32" s="34"/>
      <c r="AI32" s="34"/>
      <c r="AJ32" s="34"/>
    </row>
    <row r="33" spans="1:36" x14ac:dyDescent="0.2">
      <c r="A33" s="118"/>
      <c r="B33" s="119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3">
        <f>SUM(C33:H33)</f>
        <v>0</v>
      </c>
      <c r="AA33" s="83"/>
      <c r="AB33" s="34"/>
      <c r="AC33" s="210"/>
      <c r="AD33" s="210"/>
      <c r="AE33" s="34"/>
      <c r="AF33" s="34"/>
      <c r="AG33" s="34"/>
      <c r="AH33" s="34"/>
      <c r="AI33" s="34"/>
      <c r="AJ33" s="34"/>
    </row>
    <row r="34" spans="1:36" x14ac:dyDescent="0.2">
      <c r="A34" s="118"/>
      <c r="B34" s="119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3">
        <f>SUM(C34:H34)</f>
        <v>0</v>
      </c>
      <c r="O34" s="74"/>
      <c r="P34" s="81"/>
      <c r="Q34" s="75"/>
      <c r="AA34" s="34"/>
      <c r="AB34" s="34"/>
      <c r="AC34" s="210"/>
      <c r="AD34" s="210"/>
      <c r="AE34" s="34"/>
      <c r="AF34" s="34"/>
      <c r="AG34" s="34"/>
      <c r="AH34" s="34"/>
      <c r="AI34" s="34"/>
      <c r="AJ34" s="34"/>
    </row>
    <row r="35" spans="1:36" ht="21" x14ac:dyDescent="0.2">
      <c r="A35" s="118"/>
      <c r="B35" s="119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3">
        <f>SUM(C35:H35)</f>
        <v>0</v>
      </c>
      <c r="O35" s="74"/>
      <c r="P35" s="76"/>
      <c r="Q35" s="75"/>
      <c r="AA35" s="34"/>
      <c r="AB35" s="102"/>
      <c r="AC35" s="194" t="s">
        <v>44</v>
      </c>
      <c r="AD35" s="194"/>
      <c r="AE35" s="82">
        <f>IF($B$101=0,$B$84,$B$101)</f>
        <v>0</v>
      </c>
      <c r="AF35" s="35" t="s">
        <v>25</v>
      </c>
      <c r="AG35" s="34"/>
      <c r="AH35" s="34"/>
      <c r="AI35" s="34"/>
      <c r="AJ35" s="34"/>
    </row>
    <row r="36" spans="1:36" ht="21" x14ac:dyDescent="0.2">
      <c r="A36" s="118"/>
      <c r="B36" s="119"/>
      <c r="C36" s="120"/>
      <c r="D36" s="120"/>
      <c r="E36" s="120"/>
      <c r="F36" s="120"/>
      <c r="G36" s="120"/>
      <c r="H36" s="120"/>
      <c r="I36" s="120"/>
      <c r="J36" s="120"/>
      <c r="K36" s="120"/>
      <c r="L36" s="120"/>
      <c r="M36" s="3">
        <f t="shared" si="0"/>
        <v>0</v>
      </c>
      <c r="O36" s="74"/>
      <c r="P36" s="76"/>
      <c r="Q36" s="75"/>
      <c r="AA36" s="83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4"/>
      <c r="AC36" s="76"/>
      <c r="AD36" s="75"/>
      <c r="AE36" s="34"/>
      <c r="AF36" s="34"/>
      <c r="AG36" s="35"/>
      <c r="AH36" s="34"/>
      <c r="AI36" s="78"/>
      <c r="AJ36" s="78"/>
    </row>
    <row r="37" spans="1:36" x14ac:dyDescent="0.2">
      <c r="A37" s="118"/>
      <c r="B37" s="119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3">
        <f t="shared" si="0"/>
        <v>0</v>
      </c>
      <c r="N37" s="74"/>
      <c r="O37" s="74"/>
      <c r="P37" s="76"/>
      <c r="Q37" s="75"/>
      <c r="AA37" s="176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4"/>
      <c r="AC37" s="76"/>
      <c r="AD37" s="75"/>
      <c r="AE37" s="34"/>
      <c r="AF37" s="34"/>
      <c r="AG37" s="34"/>
      <c r="AH37" s="34"/>
      <c r="AI37" s="79"/>
      <c r="AJ37" s="79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80"/>
      <c r="K38" s="4"/>
      <c r="L38" s="63"/>
      <c r="M38" s="60"/>
      <c r="N38" s="74"/>
      <c r="O38" s="74"/>
      <c r="P38" s="77"/>
      <c r="Q38" s="75"/>
      <c r="AA38" s="83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  <c r="AB38" s="34"/>
      <c r="AC38" s="34"/>
      <c r="AD38" s="34"/>
      <c r="AE38" s="34"/>
      <c r="AF38" s="34"/>
      <c r="AG38" s="34"/>
      <c r="AH38" s="34"/>
      <c r="AI38" s="34"/>
      <c r="AJ38" s="34"/>
    </row>
    <row r="39" spans="1:36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64</v>
      </c>
      <c r="K39" s="132" t="s">
        <v>65</v>
      </c>
      <c r="L39" s="134" t="s">
        <v>49</v>
      </c>
      <c r="N39" s="74"/>
      <c r="O39" s="74"/>
      <c r="P39" s="76"/>
      <c r="Q39" s="75"/>
      <c r="AA39" s="73"/>
      <c r="AI39" s="79"/>
      <c r="AJ39" s="79"/>
    </row>
    <row r="40" spans="1:36" x14ac:dyDescent="0.2">
      <c r="A40" s="6" t="s">
        <v>14</v>
      </c>
      <c r="B40" s="99">
        <v>100</v>
      </c>
      <c r="C40" s="8"/>
      <c r="D40" s="8"/>
      <c r="E40" s="8"/>
      <c r="F40" s="8"/>
      <c r="G40" s="8"/>
      <c r="H40" s="8"/>
      <c r="I40" s="7"/>
      <c r="J40" s="55"/>
      <c r="K40" s="84"/>
      <c r="L40" s="100"/>
      <c r="M40" s="3">
        <f t="shared" ref="M40:M49" si="2">SUM(C40:H40)</f>
        <v>0</v>
      </c>
      <c r="N40" s="74"/>
      <c r="O40" s="74"/>
      <c r="P40" s="76"/>
      <c r="Q40" s="75"/>
      <c r="AA40" s="73"/>
      <c r="AI40" s="79"/>
      <c r="AJ40" s="79"/>
    </row>
    <row r="41" spans="1:36" x14ac:dyDescent="0.2">
      <c r="A41" s="118"/>
      <c r="B41" s="119"/>
      <c r="C41" s="120"/>
      <c r="D41" s="120"/>
      <c r="E41" s="120"/>
      <c r="F41" s="120"/>
      <c r="G41" s="120"/>
      <c r="H41" s="120"/>
      <c r="I41" s="120"/>
      <c r="J41" s="120"/>
      <c r="K41" s="120"/>
      <c r="L41" s="120"/>
      <c r="M41" s="3">
        <f t="shared" si="2"/>
        <v>0</v>
      </c>
      <c r="N41" s="74"/>
      <c r="O41" s="74"/>
      <c r="P41" s="77"/>
      <c r="Q41" s="75"/>
      <c r="AA41" s="183" t="s">
        <v>94</v>
      </c>
      <c r="AB41" s="60"/>
      <c r="AC41" s="60"/>
      <c r="AD41" s="60"/>
      <c r="AE41" s="60"/>
      <c r="AI41" s="80"/>
      <c r="AJ41" s="80"/>
    </row>
    <row r="42" spans="1:36" x14ac:dyDescent="0.2">
      <c r="A42" s="118"/>
      <c r="B42" s="119"/>
      <c r="C42" s="120"/>
      <c r="D42" s="120"/>
      <c r="E42" s="120"/>
      <c r="F42" s="120"/>
      <c r="G42" s="120"/>
      <c r="H42" s="120"/>
      <c r="I42" s="120"/>
      <c r="J42" s="120"/>
      <c r="K42" s="120"/>
      <c r="L42" s="120"/>
      <c r="M42" s="3">
        <f t="shared" si="2"/>
        <v>0</v>
      </c>
      <c r="N42" s="74"/>
      <c r="AA42" s="74"/>
      <c r="AB42" s="60"/>
      <c r="AC42" s="60"/>
      <c r="AD42" s="60"/>
      <c r="AE42" s="60"/>
    </row>
    <row r="43" spans="1:36" x14ac:dyDescent="0.2">
      <c r="A43" s="118"/>
      <c r="B43" s="119"/>
      <c r="C43" s="120"/>
      <c r="D43" s="120"/>
      <c r="E43" s="120"/>
      <c r="F43" s="120"/>
      <c r="G43" s="120"/>
      <c r="H43" s="120"/>
      <c r="I43" s="120"/>
      <c r="J43" s="120"/>
      <c r="K43" s="120"/>
      <c r="L43" s="120"/>
      <c r="M43" s="3">
        <f t="shared" si="2"/>
        <v>0</v>
      </c>
      <c r="N43" s="74"/>
      <c r="AB43" s="74"/>
      <c r="AC43" s="81"/>
      <c r="AD43" s="75"/>
      <c r="AE43" s="60"/>
    </row>
    <row r="44" spans="1:36" x14ac:dyDescent="0.2">
      <c r="A44" s="118"/>
      <c r="B44" s="119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3">
        <f t="shared" si="2"/>
        <v>0</v>
      </c>
      <c r="N44" s="74"/>
      <c r="AB44" s="74"/>
      <c r="AC44" s="76"/>
      <c r="AD44" s="75"/>
      <c r="AE44" s="60"/>
    </row>
    <row r="45" spans="1:36" x14ac:dyDescent="0.2">
      <c r="A45" s="118"/>
      <c r="B45" s="119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3">
        <f t="shared" si="2"/>
        <v>0</v>
      </c>
      <c r="AA45" s="74"/>
      <c r="AB45" s="74"/>
      <c r="AC45" s="76"/>
      <c r="AD45" s="75"/>
      <c r="AE45" s="60"/>
    </row>
    <row r="46" spans="1:36" x14ac:dyDescent="0.2">
      <c r="A46" s="118"/>
      <c r="B46" s="119"/>
      <c r="C46" s="120"/>
      <c r="D46" s="120"/>
      <c r="E46" s="120"/>
      <c r="F46" s="120"/>
      <c r="G46" s="120"/>
      <c r="H46" s="120"/>
      <c r="I46" s="120"/>
      <c r="J46" s="120"/>
      <c r="K46" s="120"/>
      <c r="L46" s="120"/>
      <c r="M46" s="3">
        <f t="shared" si="2"/>
        <v>0</v>
      </c>
      <c r="AA46" s="74"/>
      <c r="AB46" s="74"/>
      <c r="AC46" s="76"/>
      <c r="AD46" s="75"/>
      <c r="AE46" s="60"/>
    </row>
    <row r="47" spans="1:36" x14ac:dyDescent="0.2">
      <c r="A47" s="118"/>
      <c r="B47" s="119"/>
      <c r="C47" s="120"/>
      <c r="D47" s="120"/>
      <c r="E47" s="120"/>
      <c r="F47" s="120"/>
      <c r="G47" s="120"/>
      <c r="H47" s="120"/>
      <c r="I47" s="120"/>
      <c r="J47" s="120"/>
      <c r="K47" s="120"/>
      <c r="L47" s="120"/>
      <c r="M47" s="3">
        <f t="shared" si="2"/>
        <v>0</v>
      </c>
      <c r="AA47" s="74"/>
      <c r="AB47" s="74"/>
      <c r="AC47" s="77"/>
      <c r="AD47" s="75"/>
      <c r="AE47" s="60"/>
    </row>
    <row r="48" spans="1:36" x14ac:dyDescent="0.2">
      <c r="A48" s="118"/>
      <c r="B48" s="119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3">
        <f t="shared" si="2"/>
        <v>0</v>
      </c>
      <c r="AA48" s="74"/>
      <c r="AB48" s="74"/>
      <c r="AC48" s="77"/>
      <c r="AD48" s="75"/>
      <c r="AE48" s="60"/>
    </row>
    <row r="49" spans="1:33" x14ac:dyDescent="0.2">
      <c r="A49" s="118"/>
      <c r="B49" s="119"/>
      <c r="C49" s="120"/>
      <c r="D49" s="120"/>
      <c r="E49" s="120"/>
      <c r="F49" s="120"/>
      <c r="G49" s="120"/>
      <c r="H49" s="120"/>
      <c r="I49" s="120"/>
      <c r="J49" s="120"/>
      <c r="K49" s="120"/>
      <c r="L49" s="120"/>
      <c r="M49" s="3">
        <f t="shared" si="2"/>
        <v>0</v>
      </c>
      <c r="AA49" s="74"/>
      <c r="AB49" s="74"/>
      <c r="AC49" s="77"/>
      <c r="AD49" s="75"/>
      <c r="AE49" s="60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2"/>
      <c r="J50" s="181"/>
      <c r="K50" s="32"/>
      <c r="L50" s="64"/>
      <c r="AA50" s="74"/>
      <c r="AB50" s="74"/>
      <c r="AC50" s="81"/>
      <c r="AD50" s="75"/>
      <c r="AE50" s="60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5"/>
      <c r="AA51" s="60"/>
      <c r="AB51" s="60"/>
      <c r="AC51" s="60"/>
      <c r="AD51" s="60"/>
      <c r="AE51" s="60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34</v>
      </c>
      <c r="L52" s="134" t="s">
        <v>35</v>
      </c>
      <c r="AA52" s="87"/>
    </row>
    <row r="53" spans="1:33" x14ac:dyDescent="0.2">
      <c r="A53" s="118" t="str">
        <f>IF(A8="","",A8)</f>
        <v/>
      </c>
      <c r="B53" s="136" t="str">
        <f>IF(B8="","",B8)</f>
        <v/>
      </c>
      <c r="C53" s="10">
        <f>C8*B53/100</f>
        <v>0</v>
      </c>
      <c r="D53" s="10">
        <f>D8*B53/100</f>
        <v>0</v>
      </c>
      <c r="E53" s="10">
        <f>E8*B53/100</f>
        <v>0</v>
      </c>
      <c r="F53" s="10">
        <f>F8*B53/100</f>
        <v>0</v>
      </c>
      <c r="G53" s="10">
        <f>G8*B53/100</f>
        <v>0</v>
      </c>
      <c r="H53" s="10">
        <f>H8*B53/100</f>
        <v>0</v>
      </c>
      <c r="I53" s="11">
        <f>I8*B53/100</f>
        <v>0</v>
      </c>
      <c r="J53" s="11">
        <f>J8*B53/100</f>
        <v>0</v>
      </c>
      <c r="K53" s="11">
        <f>K8*B53/100</f>
        <v>0</v>
      </c>
      <c r="L53" s="66">
        <f>L8*B53/100</f>
        <v>0</v>
      </c>
      <c r="AA53" s="88"/>
    </row>
    <row r="54" spans="1:33" x14ac:dyDescent="0.2">
      <c r="A54" s="118" t="str">
        <f t="shared" ref="A54:B54" si="3">IF(A9="","",A9)</f>
        <v/>
      </c>
      <c r="B54" s="136" t="str">
        <f t="shared" si="3"/>
        <v/>
      </c>
      <c r="C54" s="10">
        <f t="shared" ref="C54:C81" si="4">C9*B54/100</f>
        <v>0</v>
      </c>
      <c r="D54" s="10">
        <f t="shared" ref="D54:D82" si="5">D9*B54/100</f>
        <v>0</v>
      </c>
      <c r="E54" s="10">
        <f t="shared" ref="E54:E82" si="6">E9*B54/100</f>
        <v>0</v>
      </c>
      <c r="F54" s="10">
        <f t="shared" ref="F54:F82" si="7">F9*B54/100</f>
        <v>0</v>
      </c>
      <c r="G54" s="10">
        <f t="shared" ref="G54:G82" si="8">G9*B54/100</f>
        <v>0</v>
      </c>
      <c r="H54" s="10">
        <f t="shared" ref="H54:H82" si="9">H9*B54/100</f>
        <v>0</v>
      </c>
      <c r="I54" s="11">
        <f t="shared" ref="I54:I82" si="10">I9*B54/100</f>
        <v>0</v>
      </c>
      <c r="J54" s="11">
        <f t="shared" ref="J54:J82" si="11">J9*B54/100</f>
        <v>0</v>
      </c>
      <c r="K54" s="11">
        <f t="shared" ref="K54:K82" si="12">K9*B54/100</f>
        <v>0</v>
      </c>
      <c r="L54" s="66">
        <f t="shared" ref="L54:L82" si="13">L9*B54/100</f>
        <v>0</v>
      </c>
      <c r="AA54" s="88"/>
    </row>
    <row r="55" spans="1:33" x14ac:dyDescent="0.2">
      <c r="A55" s="118" t="str">
        <f t="shared" ref="A55:B55" si="14">IF(A10="","",A10)</f>
        <v/>
      </c>
      <c r="B55" s="136" t="str">
        <f t="shared" si="14"/>
        <v/>
      </c>
      <c r="C55" s="10">
        <f t="shared" si="4"/>
        <v>0</v>
      </c>
      <c r="D55" s="10">
        <f t="shared" si="5"/>
        <v>0</v>
      </c>
      <c r="E55" s="10">
        <f t="shared" si="6"/>
        <v>0</v>
      </c>
      <c r="F55" s="10">
        <f t="shared" si="7"/>
        <v>0</v>
      </c>
      <c r="G55" s="10">
        <f t="shared" si="8"/>
        <v>0</v>
      </c>
      <c r="H55" s="10">
        <f t="shared" si="9"/>
        <v>0</v>
      </c>
      <c r="I55" s="11">
        <f t="shared" si="10"/>
        <v>0</v>
      </c>
      <c r="J55" s="11">
        <f t="shared" si="11"/>
        <v>0</v>
      </c>
      <c r="K55" s="11">
        <f t="shared" si="12"/>
        <v>0</v>
      </c>
      <c r="L55" s="66">
        <f t="shared" si="13"/>
        <v>0</v>
      </c>
    </row>
    <row r="56" spans="1:33" x14ac:dyDescent="0.2">
      <c r="A56" s="118" t="str">
        <f t="shared" ref="A56:B56" si="15">IF(A11="","",A11)</f>
        <v/>
      </c>
      <c r="B56" s="136" t="str">
        <f t="shared" si="15"/>
        <v/>
      </c>
      <c r="C56" s="10">
        <f t="shared" si="4"/>
        <v>0</v>
      </c>
      <c r="D56" s="10">
        <f t="shared" si="5"/>
        <v>0</v>
      </c>
      <c r="E56" s="10">
        <f t="shared" si="6"/>
        <v>0</v>
      </c>
      <c r="F56" s="10">
        <f t="shared" si="7"/>
        <v>0</v>
      </c>
      <c r="G56" s="10">
        <f t="shared" si="8"/>
        <v>0</v>
      </c>
      <c r="H56" s="10">
        <f t="shared" si="9"/>
        <v>0</v>
      </c>
      <c r="I56" s="11">
        <f t="shared" si="10"/>
        <v>0</v>
      </c>
      <c r="J56" s="11">
        <f t="shared" si="11"/>
        <v>0</v>
      </c>
      <c r="K56" s="11">
        <f t="shared" si="12"/>
        <v>0</v>
      </c>
      <c r="L56" s="66">
        <f t="shared" si="13"/>
        <v>0</v>
      </c>
    </row>
    <row r="57" spans="1:33" x14ac:dyDescent="0.2">
      <c r="A57" s="118" t="str">
        <f t="shared" ref="A57:B57" si="16">IF(A12="","",A12)</f>
        <v/>
      </c>
      <c r="B57" s="136" t="str">
        <f t="shared" si="16"/>
        <v/>
      </c>
      <c r="C57" s="10">
        <f t="shared" si="4"/>
        <v>0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0</v>
      </c>
      <c r="I57" s="11">
        <f t="shared" si="10"/>
        <v>0</v>
      </c>
      <c r="J57" s="11">
        <f t="shared" si="11"/>
        <v>0</v>
      </c>
      <c r="K57" s="11">
        <f t="shared" si="12"/>
        <v>0</v>
      </c>
      <c r="L57" s="66">
        <f t="shared" si="13"/>
        <v>0</v>
      </c>
    </row>
    <row r="58" spans="1:33" x14ac:dyDescent="0.2">
      <c r="A58" s="118" t="str">
        <f t="shared" ref="A58:B58" si="17">IF(A13="","",A13)</f>
        <v/>
      </c>
      <c r="B58" s="136" t="str">
        <f t="shared" si="17"/>
        <v/>
      </c>
      <c r="C58" s="10">
        <f t="shared" si="4"/>
        <v>0</v>
      </c>
      <c r="D58" s="10">
        <f t="shared" si="5"/>
        <v>0</v>
      </c>
      <c r="E58" s="10">
        <f t="shared" si="6"/>
        <v>0</v>
      </c>
      <c r="F58" s="10">
        <f t="shared" si="7"/>
        <v>0</v>
      </c>
      <c r="G58" s="10">
        <f t="shared" si="8"/>
        <v>0</v>
      </c>
      <c r="H58" s="10">
        <f t="shared" si="9"/>
        <v>0</v>
      </c>
      <c r="I58" s="11">
        <f t="shared" si="10"/>
        <v>0</v>
      </c>
      <c r="J58" s="11">
        <f t="shared" si="11"/>
        <v>0</v>
      </c>
      <c r="K58" s="11">
        <f t="shared" si="12"/>
        <v>0</v>
      </c>
      <c r="L58" s="66">
        <f t="shared" si="13"/>
        <v>0</v>
      </c>
    </row>
    <row r="59" spans="1:33" x14ac:dyDescent="0.2">
      <c r="A59" s="118" t="str">
        <f t="shared" ref="A59:B59" si="18">IF(A14="","",A14)</f>
        <v/>
      </c>
      <c r="B59" s="136" t="str">
        <f t="shared" si="18"/>
        <v/>
      </c>
      <c r="C59" s="10">
        <f t="shared" si="4"/>
        <v>0</v>
      </c>
      <c r="D59" s="10">
        <f t="shared" si="5"/>
        <v>0</v>
      </c>
      <c r="E59" s="10">
        <f t="shared" si="6"/>
        <v>0</v>
      </c>
      <c r="F59" s="10">
        <f t="shared" si="7"/>
        <v>0</v>
      </c>
      <c r="G59" s="10">
        <f t="shared" si="8"/>
        <v>0</v>
      </c>
      <c r="H59" s="10">
        <f t="shared" si="9"/>
        <v>0</v>
      </c>
      <c r="I59" s="11">
        <f t="shared" si="10"/>
        <v>0</v>
      </c>
      <c r="J59" s="11">
        <f t="shared" si="11"/>
        <v>0</v>
      </c>
      <c r="K59" s="11">
        <f t="shared" si="12"/>
        <v>0</v>
      </c>
      <c r="L59" s="66">
        <f t="shared" si="13"/>
        <v>0</v>
      </c>
    </row>
    <row r="60" spans="1:33" x14ac:dyDescent="0.2">
      <c r="A60" s="118" t="str">
        <f t="shared" ref="A60:B60" si="19">IF(A15="","",A15)</f>
        <v/>
      </c>
      <c r="B60" s="136" t="str">
        <f t="shared" si="19"/>
        <v/>
      </c>
      <c r="C60" s="10">
        <f t="shared" si="4"/>
        <v>0</v>
      </c>
      <c r="D60" s="10">
        <f t="shared" si="5"/>
        <v>0</v>
      </c>
      <c r="E60" s="10">
        <f t="shared" si="6"/>
        <v>0</v>
      </c>
      <c r="F60" s="10">
        <f t="shared" si="7"/>
        <v>0</v>
      </c>
      <c r="G60" s="10">
        <f t="shared" si="8"/>
        <v>0</v>
      </c>
      <c r="H60" s="10">
        <f t="shared" si="9"/>
        <v>0</v>
      </c>
      <c r="I60" s="11">
        <f t="shared" si="10"/>
        <v>0</v>
      </c>
      <c r="J60" s="11">
        <f t="shared" si="11"/>
        <v>0</v>
      </c>
      <c r="K60" s="11">
        <f t="shared" si="12"/>
        <v>0</v>
      </c>
      <c r="L60" s="66">
        <f t="shared" si="13"/>
        <v>0</v>
      </c>
      <c r="AA60" s="87" t="s">
        <v>42</v>
      </c>
    </row>
    <row r="61" spans="1:33" x14ac:dyDescent="0.2">
      <c r="A61" s="118" t="str">
        <f t="shared" ref="A61:B61" si="20">IF(A16="","",A16)</f>
        <v/>
      </c>
      <c r="B61" s="136" t="str">
        <f t="shared" si="20"/>
        <v/>
      </c>
      <c r="C61" s="10">
        <f t="shared" si="4"/>
        <v>0</v>
      </c>
      <c r="D61" s="10">
        <f t="shared" si="5"/>
        <v>0</v>
      </c>
      <c r="E61" s="10">
        <f t="shared" si="6"/>
        <v>0</v>
      </c>
      <c r="F61" s="10">
        <f t="shared" si="7"/>
        <v>0</v>
      </c>
      <c r="G61" s="10">
        <f t="shared" si="8"/>
        <v>0</v>
      </c>
      <c r="H61" s="10">
        <f t="shared" si="9"/>
        <v>0</v>
      </c>
      <c r="I61" s="11">
        <f t="shared" si="10"/>
        <v>0</v>
      </c>
      <c r="J61" s="11">
        <f t="shared" si="11"/>
        <v>0</v>
      </c>
      <c r="K61" s="11">
        <f t="shared" si="12"/>
        <v>0</v>
      </c>
      <c r="L61" s="66">
        <f t="shared" si="13"/>
        <v>0</v>
      </c>
      <c r="AA61" s="123" t="s">
        <v>53</v>
      </c>
    </row>
    <row r="62" spans="1:33" ht="18.75" x14ac:dyDescent="0.3">
      <c r="A62" s="118" t="str">
        <f t="shared" ref="A62:B62" si="21">IF(A17="","",A17)</f>
        <v/>
      </c>
      <c r="B62" s="136" t="str">
        <f t="shared" si="21"/>
        <v/>
      </c>
      <c r="C62" s="10">
        <f t="shared" si="4"/>
        <v>0</v>
      </c>
      <c r="D62" s="10">
        <f t="shared" si="5"/>
        <v>0</v>
      </c>
      <c r="E62" s="10">
        <f t="shared" si="6"/>
        <v>0</v>
      </c>
      <c r="F62" s="10">
        <f t="shared" si="7"/>
        <v>0</v>
      </c>
      <c r="G62" s="10">
        <f t="shared" si="8"/>
        <v>0</v>
      </c>
      <c r="H62" s="10">
        <f t="shared" si="9"/>
        <v>0</v>
      </c>
      <c r="I62" s="11">
        <f t="shared" si="10"/>
        <v>0</v>
      </c>
      <c r="J62" s="11">
        <f t="shared" si="11"/>
        <v>0</v>
      </c>
      <c r="K62" s="11">
        <f t="shared" si="12"/>
        <v>0</v>
      </c>
      <c r="L62" s="66">
        <f t="shared" si="13"/>
        <v>0</v>
      </c>
      <c r="AA62" s="88" t="s">
        <v>54</v>
      </c>
      <c r="AC62" s="89"/>
      <c r="AE62" s="89"/>
      <c r="AF62" s="90"/>
      <c r="AG62" s="89"/>
    </row>
    <row r="63" spans="1:33" x14ac:dyDescent="0.2">
      <c r="A63" s="118" t="str">
        <f t="shared" ref="A63:B63" si="22">IF(A18="","",A18)</f>
        <v/>
      </c>
      <c r="B63" s="136" t="str">
        <f t="shared" si="22"/>
        <v/>
      </c>
      <c r="C63" s="10">
        <f t="shared" si="4"/>
        <v>0</v>
      </c>
      <c r="D63" s="10">
        <f t="shared" si="5"/>
        <v>0</v>
      </c>
      <c r="E63" s="10">
        <f t="shared" si="6"/>
        <v>0</v>
      </c>
      <c r="F63" s="10">
        <f t="shared" si="7"/>
        <v>0</v>
      </c>
      <c r="G63" s="10">
        <f t="shared" si="8"/>
        <v>0</v>
      </c>
      <c r="H63" s="10">
        <f t="shared" si="9"/>
        <v>0</v>
      </c>
      <c r="I63" s="11">
        <f t="shared" si="10"/>
        <v>0</v>
      </c>
      <c r="J63" s="11">
        <f t="shared" si="11"/>
        <v>0</v>
      </c>
      <c r="K63" s="11">
        <f t="shared" si="12"/>
        <v>0</v>
      </c>
      <c r="L63" s="66">
        <f t="shared" si="13"/>
        <v>0</v>
      </c>
    </row>
    <row r="64" spans="1:33" x14ac:dyDescent="0.2">
      <c r="A64" s="118" t="str">
        <f t="shared" ref="A64:B64" si="23">IF(A19="","",A19)</f>
        <v/>
      </c>
      <c r="B64" s="136" t="str">
        <f t="shared" si="23"/>
        <v/>
      </c>
      <c r="C64" s="10">
        <f t="shared" si="4"/>
        <v>0</v>
      </c>
      <c r="D64" s="10">
        <f t="shared" si="5"/>
        <v>0</v>
      </c>
      <c r="E64" s="10">
        <f t="shared" si="6"/>
        <v>0</v>
      </c>
      <c r="F64" s="10">
        <f t="shared" si="7"/>
        <v>0</v>
      </c>
      <c r="G64" s="10">
        <f t="shared" si="8"/>
        <v>0</v>
      </c>
      <c r="H64" s="10">
        <f t="shared" si="9"/>
        <v>0</v>
      </c>
      <c r="I64" s="11">
        <f t="shared" si="10"/>
        <v>0</v>
      </c>
      <c r="J64" s="11">
        <f t="shared" si="11"/>
        <v>0</v>
      </c>
      <c r="K64" s="11">
        <f t="shared" si="12"/>
        <v>0</v>
      </c>
      <c r="L64" s="66">
        <f t="shared" si="13"/>
        <v>0</v>
      </c>
    </row>
    <row r="65" spans="1:27" x14ac:dyDescent="0.2">
      <c r="A65" s="118" t="str">
        <f t="shared" ref="A65:B65" si="24">IF(A20="","",A20)</f>
        <v/>
      </c>
      <c r="B65" s="136" t="str">
        <f t="shared" si="24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6">
        <f t="shared" si="13"/>
        <v>0</v>
      </c>
    </row>
    <row r="66" spans="1:27" x14ac:dyDescent="0.2">
      <c r="A66" s="118" t="str">
        <f t="shared" ref="A66:B66" si="25">IF(A21="","",A21)</f>
        <v/>
      </c>
      <c r="B66" s="136" t="str">
        <f t="shared" si="25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6">
        <f t="shared" si="13"/>
        <v>0</v>
      </c>
    </row>
    <row r="67" spans="1:27" x14ac:dyDescent="0.2">
      <c r="A67" s="118" t="str">
        <f t="shared" ref="A67:B67" si="26">IF(A22="","",A22)</f>
        <v/>
      </c>
      <c r="B67" s="136" t="str">
        <f t="shared" si="26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6">
        <f t="shared" si="13"/>
        <v>0</v>
      </c>
    </row>
    <row r="68" spans="1:27" x14ac:dyDescent="0.2">
      <c r="A68" s="118" t="str">
        <f t="shared" ref="A68:B68" si="27">IF(A23="","",A23)</f>
        <v/>
      </c>
      <c r="B68" s="136" t="str">
        <f t="shared" si="27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6">
        <f t="shared" si="13"/>
        <v>0</v>
      </c>
    </row>
    <row r="69" spans="1:27" ht="18.75" x14ac:dyDescent="0.3">
      <c r="A69" s="118" t="str">
        <f t="shared" ref="A69:B69" si="28">IF(A24="","",A24)</f>
        <v/>
      </c>
      <c r="B69" s="136" t="str">
        <f t="shared" si="28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6">
        <f t="shared" si="13"/>
        <v>0</v>
      </c>
      <c r="AA69" s="89" t="s">
        <v>43</v>
      </c>
    </row>
    <row r="70" spans="1:27" x14ac:dyDescent="0.2">
      <c r="A70" s="118" t="str">
        <f t="shared" ref="A70:B70" si="29">IF(A25="","",A25)</f>
        <v/>
      </c>
      <c r="B70" s="136" t="str">
        <f t="shared" si="29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6">
        <f t="shared" si="13"/>
        <v>0</v>
      </c>
      <c r="AA70" s="92" t="s">
        <v>62</v>
      </c>
    </row>
    <row r="71" spans="1:27" x14ac:dyDescent="0.2">
      <c r="A71" s="118" t="str">
        <f t="shared" ref="A71:B71" si="30">IF(A26="","",A26)</f>
        <v/>
      </c>
      <c r="B71" s="136" t="str">
        <f t="shared" si="30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6">
        <f t="shared" si="13"/>
        <v>0</v>
      </c>
      <c r="AA71" s="92" t="s">
        <v>55</v>
      </c>
    </row>
    <row r="72" spans="1:27" x14ac:dyDescent="0.2">
      <c r="A72" s="118" t="str">
        <f t="shared" ref="A72:B72" si="31">IF(A27="","",A27)</f>
        <v/>
      </c>
      <c r="B72" s="136" t="str">
        <f t="shared" si="31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6">
        <f t="shared" si="13"/>
        <v>0</v>
      </c>
      <c r="AA72" s="92" t="s">
        <v>56</v>
      </c>
    </row>
    <row r="73" spans="1:27" x14ac:dyDescent="0.2">
      <c r="A73" s="118" t="str">
        <f t="shared" ref="A73:B73" si="32">IF(A28="","",A28)</f>
        <v/>
      </c>
      <c r="B73" s="136" t="str">
        <f t="shared" si="32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6">
        <f t="shared" si="13"/>
        <v>0</v>
      </c>
      <c r="AA73" s="92" t="s">
        <v>57</v>
      </c>
    </row>
    <row r="74" spans="1:27" x14ac:dyDescent="0.2">
      <c r="A74" s="118" t="str">
        <f t="shared" ref="A74:B74" si="33">IF(A29="","",A29)</f>
        <v/>
      </c>
      <c r="B74" s="136" t="str">
        <f t="shared" si="33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6">
        <f t="shared" si="13"/>
        <v>0</v>
      </c>
      <c r="AA74" s="92" t="s">
        <v>58</v>
      </c>
    </row>
    <row r="75" spans="1:27" x14ac:dyDescent="0.2">
      <c r="A75" s="118" t="str">
        <f t="shared" ref="A75:B75" si="34">IF(A30="","",A30)</f>
        <v/>
      </c>
      <c r="B75" s="136" t="str">
        <f t="shared" si="34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6">
        <f t="shared" si="13"/>
        <v>0</v>
      </c>
      <c r="AA75" s="83" t="s">
        <v>83</v>
      </c>
    </row>
    <row r="76" spans="1:27" x14ac:dyDescent="0.2">
      <c r="A76" s="118" t="str">
        <f t="shared" ref="A76:B76" si="35">IF(A31="","",A31)</f>
        <v/>
      </c>
      <c r="B76" s="136" t="str">
        <f t="shared" si="3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6">
        <f t="shared" si="13"/>
        <v>0</v>
      </c>
    </row>
    <row r="77" spans="1:27" x14ac:dyDescent="0.2">
      <c r="A77" s="118" t="str">
        <f t="shared" ref="A77:B77" si="36">IF(A32="","",A32)</f>
        <v/>
      </c>
      <c r="B77" s="136" t="str">
        <f t="shared" si="36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6">
        <f t="shared" si="13"/>
        <v>0</v>
      </c>
    </row>
    <row r="78" spans="1:27" x14ac:dyDescent="0.2">
      <c r="A78" s="118" t="str">
        <f t="shared" ref="A78:B78" si="37">IF(A33="","",A33)</f>
        <v/>
      </c>
      <c r="B78" s="136" t="str">
        <f t="shared" si="37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6">
        <f t="shared" si="13"/>
        <v>0</v>
      </c>
    </row>
    <row r="79" spans="1:27" x14ac:dyDescent="0.2">
      <c r="A79" s="118" t="str">
        <f t="shared" ref="A79:B79" si="38">IF(A34="","",A34)</f>
        <v/>
      </c>
      <c r="B79" s="136" t="str">
        <f t="shared" si="38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6">
        <f t="shared" si="13"/>
        <v>0</v>
      </c>
    </row>
    <row r="80" spans="1:27" x14ac:dyDescent="0.2">
      <c r="A80" s="118" t="str">
        <f t="shared" ref="A80:B80" si="39">IF(A35="","",A35)</f>
        <v/>
      </c>
      <c r="B80" s="136" t="str">
        <f t="shared" si="39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6">
        <f t="shared" si="13"/>
        <v>0</v>
      </c>
    </row>
    <row r="81" spans="1:12" x14ac:dyDescent="0.2">
      <c r="A81" s="118" t="str">
        <f t="shared" ref="A81:B81" si="40">IF(A36="","",A36)</f>
        <v/>
      </c>
      <c r="B81" s="136" t="str">
        <f t="shared" si="40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6">
        <f t="shared" si="13"/>
        <v>0</v>
      </c>
    </row>
    <row r="82" spans="1:12" x14ac:dyDescent="0.2">
      <c r="A82" s="118" t="str">
        <f t="shared" ref="A82:B82" si="41">IF(A37="","",A37)</f>
        <v/>
      </c>
      <c r="B82" s="136" t="str">
        <f t="shared" si="41"/>
        <v/>
      </c>
      <c r="C82" s="10">
        <f>C37*B82/100</f>
        <v>0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6">
        <f t="shared" si="13"/>
        <v>0</v>
      </c>
    </row>
    <row r="83" spans="1:12" x14ac:dyDescent="0.2">
      <c r="A83" s="5" t="s">
        <v>17</v>
      </c>
      <c r="B83" s="12">
        <f t="shared" ref="B83:L83" si="42">SUM(B53:B82)</f>
        <v>0</v>
      </c>
      <c r="C83" s="10">
        <f t="shared" si="42"/>
        <v>0</v>
      </c>
      <c r="D83" s="10">
        <f t="shared" si="42"/>
        <v>0</v>
      </c>
      <c r="E83" s="10">
        <f t="shared" si="42"/>
        <v>0</v>
      </c>
      <c r="F83" s="10">
        <f t="shared" si="42"/>
        <v>0</v>
      </c>
      <c r="G83" s="10">
        <f t="shared" si="42"/>
        <v>0</v>
      </c>
      <c r="H83" s="10">
        <f t="shared" si="42"/>
        <v>0</v>
      </c>
      <c r="I83" s="11">
        <f t="shared" si="42"/>
        <v>0</v>
      </c>
      <c r="J83" s="11">
        <f t="shared" si="42"/>
        <v>0</v>
      </c>
      <c r="K83" s="11">
        <f t="shared" si="42"/>
        <v>0</v>
      </c>
      <c r="L83" s="11">
        <f t="shared" si="42"/>
        <v>0</v>
      </c>
    </row>
    <row r="84" spans="1:12" x14ac:dyDescent="0.2">
      <c r="A84" s="5" t="s">
        <v>18</v>
      </c>
      <c r="B84" s="8">
        <v>0</v>
      </c>
      <c r="C84" s="12"/>
      <c r="D84" s="12"/>
      <c r="E84" s="12"/>
      <c r="F84" s="12"/>
      <c r="G84" s="12"/>
      <c r="H84" s="12"/>
      <c r="I84" s="13"/>
      <c r="J84" s="53"/>
      <c r="K84" s="53"/>
      <c r="L84" s="67"/>
    </row>
    <row r="85" spans="1:12" x14ac:dyDescent="0.2">
      <c r="A85" s="5" t="s">
        <v>19</v>
      </c>
      <c r="B85" s="12">
        <f>B83-B83*B84/100</f>
        <v>0</v>
      </c>
      <c r="C85" s="10">
        <f>C83-B83*B84/100</f>
        <v>0</v>
      </c>
      <c r="D85" s="10">
        <f t="shared" ref="D85:L85" si="43">SUM(D53:D82)</f>
        <v>0</v>
      </c>
      <c r="E85" s="10">
        <f t="shared" si="43"/>
        <v>0</v>
      </c>
      <c r="F85" s="10">
        <f t="shared" si="43"/>
        <v>0</v>
      </c>
      <c r="G85" s="10">
        <f t="shared" si="43"/>
        <v>0</v>
      </c>
      <c r="H85" s="10">
        <f t="shared" si="43"/>
        <v>0</v>
      </c>
      <c r="I85" s="11">
        <f t="shared" si="43"/>
        <v>0</v>
      </c>
      <c r="J85" s="54">
        <f t="shared" si="43"/>
        <v>0</v>
      </c>
      <c r="K85" s="54">
        <f t="shared" si="43"/>
        <v>0</v>
      </c>
      <c r="L85" s="66">
        <f t="shared" si="43"/>
        <v>0</v>
      </c>
    </row>
    <row r="86" spans="1:12" x14ac:dyDescent="0.2">
      <c r="A86" s="5" t="s">
        <v>20</v>
      </c>
      <c r="B86" s="14" t="e">
        <f>SUM(C86:H86)</f>
        <v>#DIV/0!</v>
      </c>
      <c r="C86" s="14" t="e">
        <f>ROUND(+C85/B85*100,1)</f>
        <v>#DIV/0!</v>
      </c>
      <c r="D86" s="14" t="e">
        <f>ROUND(+D85/B85*100,1)</f>
        <v>#DIV/0!</v>
      </c>
      <c r="E86" s="14" t="e">
        <f>ROUND(+E85/B85*100,1)</f>
        <v>#DIV/0!</v>
      </c>
      <c r="F86" s="14" t="e">
        <f>ROUND(+F85/B85*100,1)</f>
        <v>#DIV/0!</v>
      </c>
      <c r="G86" s="14" t="e">
        <f>ROUND(+G85/B85*100,1)</f>
        <v>#DIV/0!</v>
      </c>
      <c r="H86" s="14" t="e">
        <f>ROUND(+H85/B85*100,1)</f>
        <v>#DIV/0!</v>
      </c>
      <c r="I86" s="15" t="e">
        <f>ROUND(+I85/B85*100,1)</f>
        <v>#DIV/0!</v>
      </c>
      <c r="J86" s="11" t="e">
        <f>(+J85/B85*100)</f>
        <v>#DIV/0!</v>
      </c>
      <c r="K86" s="11" t="e">
        <f>(+K85/B85*100)</f>
        <v>#DIV/0!</v>
      </c>
      <c r="L86" s="66" t="e">
        <f>(+L85/B85*100)</f>
        <v>#DIV/0!</v>
      </c>
    </row>
    <row r="87" spans="1:12" x14ac:dyDescent="0.2">
      <c r="A87" s="5" t="s">
        <v>21</v>
      </c>
      <c r="B87" s="14" t="e">
        <f>SUM(C87:H87)</f>
        <v>#DIV/0!</v>
      </c>
      <c r="C87" s="170"/>
      <c r="D87" s="170"/>
      <c r="E87" s="170"/>
      <c r="F87" s="14" t="e">
        <f>F86+100-B86</f>
        <v>#DIV/0!</v>
      </c>
      <c r="G87" s="170"/>
      <c r="H87" s="170"/>
      <c r="I87" s="170"/>
      <c r="J87" s="171"/>
      <c r="K87" s="171"/>
      <c r="L87" s="179"/>
    </row>
    <row r="88" spans="1:12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82"/>
      <c r="K88" s="4"/>
      <c r="L88" s="101"/>
    </row>
    <row r="89" spans="1:12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34</v>
      </c>
      <c r="L89" s="134" t="s">
        <v>35</v>
      </c>
    </row>
    <row r="90" spans="1:12" x14ac:dyDescent="0.2">
      <c r="A90" s="6" t="s">
        <v>14</v>
      </c>
      <c r="B90" s="12">
        <f>B40*(100-B84)/100</f>
        <v>100</v>
      </c>
      <c r="C90" s="10">
        <f>C87/100*B90</f>
        <v>0</v>
      </c>
      <c r="D90" s="10">
        <f>D87/100*B90</f>
        <v>0</v>
      </c>
      <c r="E90" s="10">
        <f>E87/100*B90</f>
        <v>0</v>
      </c>
      <c r="F90" s="10" t="e">
        <f>F87/100*B90</f>
        <v>#DIV/0!</v>
      </c>
      <c r="G90" s="10">
        <f>G87/100*B90</f>
        <v>0</v>
      </c>
      <c r="H90" s="10">
        <f>H87/100*B90</f>
        <v>0</v>
      </c>
      <c r="I90" s="11">
        <f>I87/100*B90</f>
        <v>0</v>
      </c>
      <c r="J90" s="53">
        <f>J87/100*B90</f>
        <v>0</v>
      </c>
      <c r="K90" s="53">
        <f>K87/100*B90</f>
        <v>0</v>
      </c>
      <c r="L90" s="67">
        <f>L87/100*B90</f>
        <v>0</v>
      </c>
    </row>
    <row r="91" spans="1:12" x14ac:dyDescent="0.2">
      <c r="A91" s="118" t="str">
        <f>IF(A41="","",A41)</f>
        <v/>
      </c>
      <c r="B91" s="136" t="str">
        <f>IF(B41="","",B41)</f>
        <v/>
      </c>
      <c r="C91" s="10">
        <f t="shared" ref="C91:C99" si="44">C41/100*B91</f>
        <v>0</v>
      </c>
      <c r="D91" s="10">
        <f t="shared" ref="D91:D99" si="45">D41/100*B91</f>
        <v>0</v>
      </c>
      <c r="E91" s="10">
        <f t="shared" ref="E91:E99" si="46">E41/100*B91</f>
        <v>0</v>
      </c>
      <c r="F91" s="10">
        <f t="shared" ref="F91:F99" si="47">F41/100*B91</f>
        <v>0</v>
      </c>
      <c r="G91" s="10">
        <f t="shared" ref="G91:G99" si="48">G41/100*B91</f>
        <v>0</v>
      </c>
      <c r="H91" s="10">
        <f t="shared" ref="H91:H99" si="49">H41/100*B91</f>
        <v>0</v>
      </c>
      <c r="I91" s="11">
        <f t="shared" ref="I91:I99" si="50">I41/100*B91</f>
        <v>0</v>
      </c>
      <c r="J91" s="53">
        <f t="shared" ref="J91:J99" si="51">J41/100*B91</f>
        <v>0</v>
      </c>
      <c r="K91" s="53">
        <f t="shared" ref="K91:K99" si="52">K41/100*B91</f>
        <v>0</v>
      </c>
      <c r="L91" s="53">
        <f t="shared" ref="L91:L99" si="53">L41/100*B91</f>
        <v>0</v>
      </c>
    </row>
    <row r="92" spans="1:12" x14ac:dyDescent="0.2">
      <c r="A92" s="118" t="str">
        <f t="shared" ref="A92:B92" si="54">IF(A42="","",A42)</f>
        <v/>
      </c>
      <c r="B92" s="136" t="str">
        <f t="shared" si="54"/>
        <v/>
      </c>
      <c r="C92" s="10">
        <f t="shared" si="44"/>
        <v>0</v>
      </c>
      <c r="D92" s="10">
        <f t="shared" si="45"/>
        <v>0</v>
      </c>
      <c r="E92" s="10">
        <f t="shared" si="46"/>
        <v>0</v>
      </c>
      <c r="F92" s="10">
        <f t="shared" si="47"/>
        <v>0</v>
      </c>
      <c r="G92" s="10">
        <f t="shared" si="48"/>
        <v>0</v>
      </c>
      <c r="H92" s="10">
        <f t="shared" si="49"/>
        <v>0</v>
      </c>
      <c r="I92" s="11">
        <f t="shared" si="50"/>
        <v>0</v>
      </c>
      <c r="J92" s="53">
        <f t="shared" si="51"/>
        <v>0</v>
      </c>
      <c r="K92" s="53">
        <f t="shared" si="52"/>
        <v>0</v>
      </c>
      <c r="L92" s="53">
        <f t="shared" si="53"/>
        <v>0</v>
      </c>
    </row>
    <row r="93" spans="1:12" x14ac:dyDescent="0.2">
      <c r="A93" s="118" t="str">
        <f t="shared" ref="A93:B93" si="55">IF(A43="","",A43)</f>
        <v/>
      </c>
      <c r="B93" s="136" t="str">
        <f t="shared" si="55"/>
        <v/>
      </c>
      <c r="C93" s="10">
        <f t="shared" si="44"/>
        <v>0</v>
      </c>
      <c r="D93" s="10">
        <f t="shared" si="45"/>
        <v>0</v>
      </c>
      <c r="E93" s="10">
        <f t="shared" si="46"/>
        <v>0</v>
      </c>
      <c r="F93" s="10">
        <f t="shared" si="47"/>
        <v>0</v>
      </c>
      <c r="G93" s="10">
        <f t="shared" si="48"/>
        <v>0</v>
      </c>
      <c r="H93" s="10">
        <f t="shared" si="49"/>
        <v>0</v>
      </c>
      <c r="I93" s="11">
        <f t="shared" si="50"/>
        <v>0</v>
      </c>
      <c r="J93" s="53">
        <f t="shared" si="51"/>
        <v>0</v>
      </c>
      <c r="K93" s="53">
        <f t="shared" si="52"/>
        <v>0</v>
      </c>
      <c r="L93" s="53">
        <f t="shared" si="53"/>
        <v>0</v>
      </c>
    </row>
    <row r="94" spans="1:12" x14ac:dyDescent="0.2">
      <c r="A94" s="118" t="str">
        <f t="shared" ref="A94:B94" si="56">IF(A44="","",A44)</f>
        <v/>
      </c>
      <c r="B94" s="136" t="str">
        <f t="shared" si="56"/>
        <v/>
      </c>
      <c r="C94" s="10">
        <f t="shared" si="44"/>
        <v>0</v>
      </c>
      <c r="D94" s="10">
        <f t="shared" si="45"/>
        <v>0</v>
      </c>
      <c r="E94" s="10">
        <f t="shared" si="46"/>
        <v>0</v>
      </c>
      <c r="F94" s="10">
        <f t="shared" si="47"/>
        <v>0</v>
      </c>
      <c r="G94" s="10">
        <f t="shared" si="48"/>
        <v>0</v>
      </c>
      <c r="H94" s="10">
        <f t="shared" si="49"/>
        <v>0</v>
      </c>
      <c r="I94" s="11">
        <f t="shared" si="50"/>
        <v>0</v>
      </c>
      <c r="J94" s="53">
        <f t="shared" si="51"/>
        <v>0</v>
      </c>
      <c r="K94" s="53">
        <f t="shared" si="52"/>
        <v>0</v>
      </c>
      <c r="L94" s="53">
        <f t="shared" si="53"/>
        <v>0</v>
      </c>
    </row>
    <row r="95" spans="1:12" x14ac:dyDescent="0.2">
      <c r="A95" s="118" t="str">
        <f t="shared" ref="A95:B95" si="57">IF(A45="","",A45)</f>
        <v/>
      </c>
      <c r="B95" s="136" t="str">
        <f t="shared" si="57"/>
        <v/>
      </c>
      <c r="C95" s="10">
        <f t="shared" si="44"/>
        <v>0</v>
      </c>
      <c r="D95" s="10">
        <f t="shared" si="45"/>
        <v>0</v>
      </c>
      <c r="E95" s="10">
        <f t="shared" si="46"/>
        <v>0</v>
      </c>
      <c r="F95" s="10">
        <f t="shared" si="47"/>
        <v>0</v>
      </c>
      <c r="G95" s="10">
        <f t="shared" si="48"/>
        <v>0</v>
      </c>
      <c r="H95" s="10">
        <f t="shared" si="49"/>
        <v>0</v>
      </c>
      <c r="I95" s="11">
        <f t="shared" si="50"/>
        <v>0</v>
      </c>
      <c r="J95" s="53">
        <f t="shared" si="51"/>
        <v>0</v>
      </c>
      <c r="K95" s="53">
        <f t="shared" si="52"/>
        <v>0</v>
      </c>
      <c r="L95" s="53">
        <f t="shared" si="53"/>
        <v>0</v>
      </c>
    </row>
    <row r="96" spans="1:12" x14ac:dyDescent="0.2">
      <c r="A96" s="118" t="str">
        <f t="shared" ref="A96:B96" si="58">IF(A46="","",A46)</f>
        <v/>
      </c>
      <c r="B96" s="136" t="str">
        <f t="shared" si="58"/>
        <v/>
      </c>
      <c r="C96" s="10">
        <f t="shared" si="44"/>
        <v>0</v>
      </c>
      <c r="D96" s="10">
        <f t="shared" si="45"/>
        <v>0</v>
      </c>
      <c r="E96" s="10">
        <f t="shared" si="46"/>
        <v>0</v>
      </c>
      <c r="F96" s="10">
        <f t="shared" si="47"/>
        <v>0</v>
      </c>
      <c r="G96" s="10">
        <f t="shared" si="48"/>
        <v>0</v>
      </c>
      <c r="H96" s="10">
        <f t="shared" si="49"/>
        <v>0</v>
      </c>
      <c r="I96" s="11">
        <f t="shared" si="50"/>
        <v>0</v>
      </c>
      <c r="J96" s="53">
        <f t="shared" si="51"/>
        <v>0</v>
      </c>
      <c r="K96" s="53">
        <f t="shared" si="52"/>
        <v>0</v>
      </c>
      <c r="L96" s="53">
        <f t="shared" si="53"/>
        <v>0</v>
      </c>
    </row>
    <row r="97" spans="1:12" x14ac:dyDescent="0.2">
      <c r="A97" s="118" t="str">
        <f t="shared" ref="A97:B97" si="59">IF(A47="","",A47)</f>
        <v/>
      </c>
      <c r="B97" s="136" t="str">
        <f t="shared" si="59"/>
        <v/>
      </c>
      <c r="C97" s="10">
        <f t="shared" si="44"/>
        <v>0</v>
      </c>
      <c r="D97" s="10">
        <f t="shared" si="45"/>
        <v>0</v>
      </c>
      <c r="E97" s="10">
        <f t="shared" si="46"/>
        <v>0</v>
      </c>
      <c r="F97" s="10">
        <f t="shared" si="47"/>
        <v>0</v>
      </c>
      <c r="G97" s="10">
        <f t="shared" si="48"/>
        <v>0</v>
      </c>
      <c r="H97" s="10">
        <f t="shared" si="49"/>
        <v>0</v>
      </c>
      <c r="I97" s="11">
        <f t="shared" si="50"/>
        <v>0</v>
      </c>
      <c r="J97" s="53">
        <f t="shared" si="51"/>
        <v>0</v>
      </c>
      <c r="K97" s="53">
        <f t="shared" si="52"/>
        <v>0</v>
      </c>
      <c r="L97" s="53">
        <f t="shared" si="53"/>
        <v>0</v>
      </c>
    </row>
    <row r="98" spans="1:12" x14ac:dyDescent="0.2">
      <c r="A98" s="118" t="str">
        <f t="shared" ref="A98:B98" si="60">IF(A48="","",A48)</f>
        <v/>
      </c>
      <c r="B98" s="136" t="str">
        <f t="shared" si="60"/>
        <v/>
      </c>
      <c r="C98" s="10">
        <f t="shared" si="44"/>
        <v>0</v>
      </c>
      <c r="D98" s="10">
        <f t="shared" si="45"/>
        <v>0</v>
      </c>
      <c r="E98" s="10">
        <f t="shared" si="46"/>
        <v>0</v>
      </c>
      <c r="F98" s="10">
        <f t="shared" si="47"/>
        <v>0</v>
      </c>
      <c r="G98" s="10">
        <f t="shared" si="48"/>
        <v>0</v>
      </c>
      <c r="H98" s="10">
        <f t="shared" si="49"/>
        <v>0</v>
      </c>
      <c r="I98" s="11">
        <f t="shared" si="50"/>
        <v>0</v>
      </c>
      <c r="J98" s="53">
        <f t="shared" si="51"/>
        <v>0</v>
      </c>
      <c r="K98" s="53">
        <f t="shared" si="52"/>
        <v>0</v>
      </c>
      <c r="L98" s="53">
        <f t="shared" si="53"/>
        <v>0</v>
      </c>
    </row>
    <row r="99" spans="1:12" x14ac:dyDescent="0.2">
      <c r="A99" s="118" t="str">
        <f t="shared" ref="A99:B99" si="61">IF(A49="","",A49)</f>
        <v/>
      </c>
      <c r="B99" s="136" t="str">
        <f t="shared" si="61"/>
        <v/>
      </c>
      <c r="C99" s="10">
        <f t="shared" si="44"/>
        <v>0</v>
      </c>
      <c r="D99" s="10">
        <f t="shared" si="45"/>
        <v>0</v>
      </c>
      <c r="E99" s="10">
        <f t="shared" si="46"/>
        <v>0</v>
      </c>
      <c r="F99" s="10">
        <f t="shared" si="47"/>
        <v>0</v>
      </c>
      <c r="G99" s="10">
        <f t="shared" si="48"/>
        <v>0</v>
      </c>
      <c r="H99" s="10">
        <f t="shared" si="49"/>
        <v>0</v>
      </c>
      <c r="I99" s="11">
        <f t="shared" si="50"/>
        <v>0</v>
      </c>
      <c r="J99" s="53">
        <f t="shared" si="51"/>
        <v>0</v>
      </c>
      <c r="K99" s="53">
        <f t="shared" si="52"/>
        <v>0</v>
      </c>
      <c r="L99" s="53">
        <f t="shared" si="53"/>
        <v>0</v>
      </c>
    </row>
    <row r="100" spans="1:12" x14ac:dyDescent="0.2">
      <c r="A100" s="5" t="s">
        <v>17</v>
      </c>
      <c r="B100" s="12">
        <f t="shared" ref="B100:L100" si="62">SUM(B90:B99)</f>
        <v>100</v>
      </c>
      <c r="C100" s="10">
        <f t="shared" si="62"/>
        <v>0</v>
      </c>
      <c r="D100" s="10">
        <f t="shared" si="62"/>
        <v>0</v>
      </c>
      <c r="E100" s="10">
        <f t="shared" si="62"/>
        <v>0</v>
      </c>
      <c r="F100" s="10" t="e">
        <f t="shared" si="62"/>
        <v>#DIV/0!</v>
      </c>
      <c r="G100" s="10">
        <f t="shared" si="62"/>
        <v>0</v>
      </c>
      <c r="H100" s="10">
        <f t="shared" si="62"/>
        <v>0</v>
      </c>
      <c r="I100" s="11">
        <f t="shared" si="62"/>
        <v>0</v>
      </c>
      <c r="J100" s="11">
        <f t="shared" si="62"/>
        <v>0</v>
      </c>
      <c r="K100" s="11">
        <f t="shared" si="62"/>
        <v>0</v>
      </c>
      <c r="L100" s="11">
        <f t="shared" si="62"/>
        <v>0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7"/>
    </row>
    <row r="102" spans="1:12" x14ac:dyDescent="0.2">
      <c r="A102" s="5" t="s">
        <v>19</v>
      </c>
      <c r="B102" s="12">
        <f>B100-B100*B101/100</f>
        <v>100</v>
      </c>
      <c r="C102" s="10">
        <f>C100-B100*B101/100</f>
        <v>0</v>
      </c>
      <c r="D102" s="10">
        <f t="shared" ref="D102:L102" si="63">SUM(D90:D99)</f>
        <v>0</v>
      </c>
      <c r="E102" s="10">
        <f t="shared" si="63"/>
        <v>0</v>
      </c>
      <c r="F102" s="10" t="e">
        <f t="shared" si="63"/>
        <v>#DIV/0!</v>
      </c>
      <c r="G102" s="10">
        <f t="shared" si="63"/>
        <v>0</v>
      </c>
      <c r="H102" s="10">
        <f t="shared" si="63"/>
        <v>0</v>
      </c>
      <c r="I102" s="11">
        <f t="shared" si="63"/>
        <v>0</v>
      </c>
      <c r="J102" s="56">
        <f t="shared" si="63"/>
        <v>0</v>
      </c>
      <c r="K102" s="56">
        <f t="shared" si="63"/>
        <v>0</v>
      </c>
      <c r="L102" s="67">
        <f t="shared" si="63"/>
        <v>0</v>
      </c>
    </row>
    <row r="103" spans="1:12" ht="18" thickBot="1" x14ac:dyDescent="0.25">
      <c r="A103" s="16" t="s">
        <v>20</v>
      </c>
      <c r="B103" s="17" t="e">
        <f>SUM(C103:H103)</f>
        <v>#DIV/0!</v>
      </c>
      <c r="C103" s="17">
        <f>ROUND(+C102/B102*100,1)</f>
        <v>0</v>
      </c>
      <c r="D103" s="17">
        <f>ROUND(+D102/B102*100,1)</f>
        <v>0</v>
      </c>
      <c r="E103" s="17">
        <f>ROUND(+E102/B102*100,1)</f>
        <v>0</v>
      </c>
      <c r="F103" s="17" t="e">
        <f>ROUND(+F102/B102*100,1)</f>
        <v>#DIV/0!</v>
      </c>
      <c r="G103" s="17">
        <f>ROUND(+G102/B102*100,1)</f>
        <v>0</v>
      </c>
      <c r="H103" s="17">
        <f>ROUND(+H102/B102*100,1)</f>
        <v>0</v>
      </c>
      <c r="I103" s="95">
        <f>ROUND(+I102/B102*100,0)</f>
        <v>0</v>
      </c>
      <c r="J103" s="96">
        <f>ROUND(+J102/B102*100,2)</f>
        <v>0</v>
      </c>
      <c r="K103" s="96">
        <f>ROUND(+K102/B102*100,2)</f>
        <v>0</v>
      </c>
      <c r="L103" s="94">
        <f>ROUND(+L102/B102*100,0)</f>
        <v>0</v>
      </c>
    </row>
    <row r="104" spans="1:12" ht="18.75" thickTop="1" thickBot="1" x14ac:dyDescent="0.25">
      <c r="A104" s="29" t="s">
        <v>21</v>
      </c>
      <c r="B104" s="30" t="e">
        <f>SUM(C104:H104)</f>
        <v>#DIV/0!</v>
      </c>
      <c r="C104" s="172"/>
      <c r="D104" s="172"/>
      <c r="E104" s="172"/>
      <c r="F104" s="31" t="e">
        <f>F103+100-B103</f>
        <v>#DIV/0!</v>
      </c>
      <c r="G104" s="173"/>
      <c r="H104" s="173"/>
      <c r="I104" s="174"/>
      <c r="J104" s="175"/>
      <c r="K104" s="175"/>
      <c r="L104" s="174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2"/>
    </row>
    <row r="106" spans="1:12" ht="25.5" thickTop="1" thickBot="1" x14ac:dyDescent="0.3">
      <c r="A106" s="137" t="s">
        <v>69</v>
      </c>
      <c r="B106" s="138"/>
      <c r="C106" s="25"/>
      <c r="D106" s="25"/>
      <c r="E106" s="25"/>
      <c r="F106" s="26" t="e">
        <f>SUM(F104:G104)</f>
        <v>#DIV/0!</v>
      </c>
      <c r="G106" s="140" t="str">
        <f>IF(COUNTIF($A$6,"*ﾍﾞｲｼｱ*"),"ｴﾈﾙｷﾞｰを熱量に変更する。食塩相当量は小数点1桁にしてAK列も「1」に変更する！！栄養成分の単位「1個(標準○○ｇ)当たり」に変更する！！","")</f>
        <v/>
      </c>
      <c r="H106" s="184" t="s">
        <v>96</v>
      </c>
      <c r="I106" s="185">
        <v>115</v>
      </c>
      <c r="J106" s="25"/>
      <c r="K106" s="25"/>
      <c r="L106" s="62"/>
    </row>
    <row r="107" spans="1:12" ht="18.75" thickBot="1" x14ac:dyDescent="0.25">
      <c r="A107" s="2"/>
      <c r="B107" s="2"/>
      <c r="C107" s="2"/>
      <c r="D107" s="2"/>
      <c r="E107" s="57"/>
      <c r="F107" s="58"/>
      <c r="G107" s="2"/>
      <c r="H107" s="186" t="s">
        <v>97</v>
      </c>
      <c r="I107" s="187">
        <v>103</v>
      </c>
      <c r="J107" s="2"/>
      <c r="K107" s="2"/>
      <c r="L107" s="61"/>
    </row>
    <row r="108" spans="1:12" ht="18.75" thickBot="1" x14ac:dyDescent="0.25">
      <c r="A108" s="18" t="s">
        <v>23</v>
      </c>
      <c r="B108" s="19"/>
      <c r="C108" s="20" t="e">
        <f>ROUND(+D104*4+E104*9+F104*4+G104*4,0)</f>
        <v>#DIV/0!</v>
      </c>
      <c r="D108" s="18" t="s">
        <v>24</v>
      </c>
      <c r="E108" s="59"/>
      <c r="F108" s="57"/>
      <c r="G108" s="2"/>
      <c r="H108" s="188" t="s">
        <v>98</v>
      </c>
      <c r="I108" s="189">
        <v>10.5</v>
      </c>
      <c r="J108" s="2"/>
      <c r="K108" s="2"/>
      <c r="L108" s="61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1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1"/>
    </row>
    <row r="111" spans="1:12" x14ac:dyDescent="0.2">
      <c r="A111" s="2"/>
      <c r="B111" s="21"/>
      <c r="C111" s="106" t="s">
        <v>46</v>
      </c>
      <c r="D111" s="21"/>
      <c r="E111" s="21" t="str">
        <f>AG12</f>
        <v>1個当たり</v>
      </c>
      <c r="F111" s="21"/>
      <c r="G111" s="21"/>
      <c r="H111" s="21"/>
      <c r="I111" s="21"/>
      <c r="J111" s="21"/>
      <c r="K111" s="21"/>
      <c r="L111" s="61"/>
    </row>
    <row r="112" spans="1:12" x14ac:dyDescent="0.2">
      <c r="A112" s="2"/>
      <c r="B112" s="21"/>
      <c r="C112" s="107" t="s">
        <v>47</v>
      </c>
      <c r="D112" s="107" t="s">
        <v>40</v>
      </c>
      <c r="E112" s="107" t="s">
        <v>29</v>
      </c>
      <c r="F112" s="107" t="s">
        <v>26</v>
      </c>
      <c r="G112" s="107" t="s">
        <v>30</v>
      </c>
      <c r="H112" s="107" t="s">
        <v>34</v>
      </c>
      <c r="I112" s="107" t="s">
        <v>48</v>
      </c>
      <c r="J112" s="107" t="s">
        <v>49</v>
      </c>
      <c r="K112" s="21"/>
      <c r="L112" s="61"/>
    </row>
    <row r="113" spans="1:12" x14ac:dyDescent="0.2">
      <c r="A113" s="2"/>
      <c r="B113" s="21"/>
      <c r="C113" s="108" t="e">
        <f>AG14</f>
        <v>#DIV/0!</v>
      </c>
      <c r="D113" s="109">
        <f>AG15</f>
        <v>0</v>
      </c>
      <c r="E113" s="109">
        <f>AG16</f>
        <v>0</v>
      </c>
      <c r="F113" s="110" t="e">
        <f>AG17</f>
        <v>#DIV/0!</v>
      </c>
      <c r="G113" s="111">
        <f>AG18</f>
        <v>0</v>
      </c>
      <c r="H113" s="112">
        <f>AG23</f>
        <v>0</v>
      </c>
      <c r="I113" s="111">
        <f>IF(AG13&gt;=100,AG24,IF(AE24&lt;0.3,0,AG24))</f>
        <v>0</v>
      </c>
      <c r="J113" s="113">
        <f>IF(AE25&lt;5,0,AG25)</f>
        <v>0</v>
      </c>
      <c r="K113" s="21"/>
      <c r="L113" s="61"/>
    </row>
    <row r="114" spans="1:12" x14ac:dyDescent="0.2">
      <c r="A114" s="2"/>
      <c r="B114" s="21"/>
      <c r="C114" s="114" t="s">
        <v>50</v>
      </c>
      <c r="D114" s="115" t="s">
        <v>51</v>
      </c>
      <c r="E114" s="115" t="s">
        <v>51</v>
      </c>
      <c r="F114" s="116" t="s">
        <v>51</v>
      </c>
      <c r="G114" s="115" t="s">
        <v>51</v>
      </c>
      <c r="H114" s="116" t="s">
        <v>51</v>
      </c>
      <c r="I114" s="115" t="s">
        <v>51</v>
      </c>
      <c r="J114" s="117" t="s">
        <v>52</v>
      </c>
      <c r="K114" s="21"/>
      <c r="L114" s="61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1"/>
    </row>
    <row r="117" spans="1:12" x14ac:dyDescent="0.2">
      <c r="A117" s="92"/>
    </row>
    <row r="118" spans="1:12" x14ac:dyDescent="0.2">
      <c r="A118" s="92"/>
    </row>
    <row r="119" spans="1:12" x14ac:dyDescent="0.2">
      <c r="A119" s="121"/>
    </row>
    <row r="120" spans="1:12" x14ac:dyDescent="0.2">
      <c r="A120" s="92"/>
    </row>
  </sheetData>
  <mergeCells count="14">
    <mergeCell ref="G4:H4"/>
    <mergeCell ref="AN14:AQ14"/>
    <mergeCell ref="AC35:AD35"/>
    <mergeCell ref="AK12:AK13"/>
    <mergeCell ref="A5:E5"/>
    <mergeCell ref="A6:E6"/>
    <mergeCell ref="AE12:AE13"/>
    <mergeCell ref="AA31:AJ31"/>
    <mergeCell ref="AG12:AI12"/>
    <mergeCell ref="AB7:AI7"/>
    <mergeCell ref="AM15:AQ15"/>
    <mergeCell ref="AC32:AD32"/>
    <mergeCell ref="AC33:AD33"/>
    <mergeCell ref="AC34:AD34"/>
  </mergeCells>
  <phoneticPr fontId="16"/>
  <conditionalFormatting sqref="AA1:AJ31 C111:J114 AA32:AC34 AE32:AJ34 AA45:AJ1048576 AB43:AJ44 AA35:AJ42">
    <cfRule type="expression" dxfId="8" priority="14" stopIfTrue="1">
      <formula>$A$2="出力なし"</formula>
    </cfRule>
  </conditionalFormatting>
  <conditionalFormatting sqref="AG12:AI12 E111">
    <cfRule type="expression" dxfId="7" priority="26" stopIfTrue="1">
      <formula>NOT(E12="1個当たり")</formula>
    </cfRule>
  </conditionalFormatting>
  <conditionalFormatting sqref="AA31:AJ31">
    <cfRule type="expression" dxfId="6" priority="23" stopIfTrue="1">
      <formula>NOT(AA31="この表示値は、目安です。")</formula>
    </cfRule>
  </conditionalFormatting>
  <conditionalFormatting sqref="AG25">
    <cfRule type="expression" dxfId="5" priority="22" stopIfTrue="1">
      <formula>IF(AND(COUNTIF($A$6,"&lt;&gt;*様*"),$AE$25&lt;5),TRUE,FALSE)</formula>
    </cfRule>
  </conditionalFormatting>
  <conditionalFormatting sqref="AG24">
    <cfRule type="expression" dxfId="4" priority="21" stopIfTrue="1">
      <formula>IF(AND(COUNTIF($A$6,"&lt;&gt;*様*"),$AG$13&lt;100,$AE$24&lt;0.3),TRUE,FALSE)</formula>
    </cfRule>
  </conditionalFormatting>
  <conditionalFormatting sqref="AE21">
    <cfRule type="expression" dxfId="3" priority="20" stopIfTrue="1">
      <formula>IF(OR($A$4="蒸し物",$G$4="和生菓子"),IF($AE$21&lt;30,TRUE,FALSE),FALSE)</formula>
    </cfRule>
  </conditionalFormatting>
  <conditionalFormatting sqref="Z23">
    <cfRule type="expression" dxfId="2" priority="16">
      <formula>COUNTIF($Z$23,"*1")</formula>
    </cfRule>
  </conditionalFormatting>
  <conditionalFormatting sqref="AM14:AQ28">
    <cfRule type="expression" dxfId="1" priority="4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ignoredErrors>
    <ignoredError sqref="C113" evalError="1"/>
  </ignoredErrors>
  <drawing r:id="rId2"/>
  <legacyDrawing r:id="rId3"/>
  <controls>
    <mc:AlternateContent xmlns:mc="http://schemas.openxmlformats.org/markup-compatibility/2006">
      <mc:Choice Requires="x14">
        <control shapeId="1031" r:id="rId4" name="cmdCopy">
          <controlPr defaultSize="0" autoLine="0" r:id="rId5">
            <anchor moveWithCells="1">
              <from>
                <xdr:col>41</xdr:col>
                <xdr:colOff>819150</xdr:colOff>
                <xdr:row>4</xdr:row>
                <xdr:rowOff>57150</xdr:rowOff>
              </from>
              <to>
                <xdr:col>43</xdr:col>
                <xdr:colOff>638175</xdr:colOff>
                <xdr:row>6</xdr:row>
                <xdr:rowOff>0</xdr:rowOff>
              </to>
            </anchor>
          </controlPr>
        </control>
      </mc:Choice>
      <mc:Fallback>
        <control shapeId="1031" r:id="rId4" name="cmdCopy"/>
      </mc:Fallback>
    </mc:AlternateContent>
    <mc:AlternateContent xmlns:mc="http://schemas.openxmlformats.org/markup-compatibility/2006">
      <mc:Choice Requires="x14">
        <control shapeId="1027" r:id="rId6" name="cmdCopy87">
          <controlPr defaultSize="0" autoLine="0" r:id="rId7">
            <anchor moveWithCells="1">
              <from>
                <xdr:col>13</xdr:col>
                <xdr:colOff>19050</xdr:colOff>
                <xdr:row>86</xdr:row>
                <xdr:rowOff>133350</xdr:rowOff>
              </from>
              <to>
                <xdr:col>18</xdr:col>
                <xdr:colOff>9525</xdr:colOff>
                <xdr:row>87</xdr:row>
                <xdr:rowOff>161925</xdr:rowOff>
              </to>
            </anchor>
          </controlPr>
        </control>
      </mc:Choice>
      <mc:Fallback>
        <control shapeId="1027" r:id="rId6" name="cmdCopy87"/>
      </mc:Fallback>
    </mc:AlternateContent>
    <mc:AlternateContent xmlns:mc="http://schemas.openxmlformats.org/markup-compatibility/2006">
      <mc:Choice Requires="x14">
        <control shapeId="1028" r:id="rId8" name="cmdClear87">
          <controlPr defaultSize="0" autoLine="0" r:id="rId9">
            <anchor moveWithCells="1">
              <from>
                <xdr:col>24</xdr:col>
                <xdr:colOff>0</xdr:colOff>
                <xdr:row>86</xdr:row>
                <xdr:rowOff>133350</xdr:rowOff>
              </from>
              <to>
                <xdr:col>26</xdr:col>
                <xdr:colOff>104775</xdr:colOff>
                <xdr:row>87</xdr:row>
                <xdr:rowOff>171450</xdr:rowOff>
              </to>
            </anchor>
          </controlPr>
        </control>
      </mc:Choice>
      <mc:Fallback>
        <control shapeId="1028" r:id="rId8" name="cmdClear87"/>
      </mc:Fallback>
    </mc:AlternateContent>
    <mc:AlternateContent xmlns:mc="http://schemas.openxmlformats.org/markup-compatibility/2006">
      <mc:Choice Requires="x14">
        <control shapeId="1029" r:id="rId10" name="cmdCopy104">
          <controlPr defaultSize="0" autoLine="0" r:id="rId11">
            <anchor moveWithCells="1">
              <from>
                <xdr:col>13</xdr:col>
                <xdr:colOff>19050</xdr:colOff>
                <xdr:row>103</xdr:row>
                <xdr:rowOff>152400</xdr:rowOff>
              </from>
              <to>
                <xdr:col>18</xdr:col>
                <xdr:colOff>9525</xdr:colOff>
                <xdr:row>104</xdr:row>
                <xdr:rowOff>171450</xdr:rowOff>
              </to>
            </anchor>
          </controlPr>
        </control>
      </mc:Choice>
      <mc:Fallback>
        <control shapeId="1029" r:id="rId10" name="cmdCopy104"/>
      </mc:Fallback>
    </mc:AlternateContent>
    <mc:AlternateContent xmlns:mc="http://schemas.openxmlformats.org/markup-compatibility/2006">
      <mc:Choice Requires="x14">
        <control shapeId="1030" r:id="rId12" name="cmdClear104">
          <controlPr defaultSize="0" autoLine="0" r:id="rId13">
            <anchor moveWithCells="1">
              <from>
                <xdr:col>24</xdr:col>
                <xdr:colOff>0</xdr:colOff>
                <xdr:row>103</xdr:row>
                <xdr:rowOff>152400</xdr:rowOff>
              </from>
              <to>
                <xdr:col>26</xdr:col>
                <xdr:colOff>104775</xdr:colOff>
                <xdr:row>104</xdr:row>
                <xdr:rowOff>171450</xdr:rowOff>
              </to>
            </anchor>
          </controlPr>
        </control>
      </mc:Choice>
      <mc:Fallback>
        <control shapeId="1030" r:id="rId12" name="cmdClear104"/>
      </mc:Fallback>
    </mc:AlternateContent>
    <mc:AlternateContent xmlns:mc="http://schemas.openxmlformats.org/markup-compatibility/2006">
      <mc:Choice Requires="x14">
        <control shapeId="1025" r:id="rId14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104775</xdr:rowOff>
              </from>
              <to>
                <xdr:col>38</xdr:col>
                <xdr:colOff>390525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19050</xdr:rowOff>
              </from>
              <to>
                <xdr:col>38</xdr:col>
                <xdr:colOff>342900</xdr:colOff>
                <xdr:row>12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計算表</vt:lpstr>
      <vt:lpstr>HP掲載用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2025-09-07T23:07:10Z</cp:lastPrinted>
  <dcterms:created xsi:type="dcterms:W3CDTF">1999-12-02T04:43:04Z</dcterms:created>
  <dcterms:modified xsi:type="dcterms:W3CDTF">2026-05-18T04:59:02Z</dcterms:modified>
</cp:coreProperties>
</file>