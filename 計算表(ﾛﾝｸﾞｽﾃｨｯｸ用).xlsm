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0245" yWindow="-15" windowWidth="10290" windowHeight="7740" tabRatio="763"/>
  </bookViews>
  <sheets>
    <sheet name="2309～" sheetId="21" r:id="rId1"/>
  </sheets>
  <functionGroups builtInGroupCount="17"/>
  <definedNames>
    <definedName name="HP掲載用">'2309～'!$C$113:$J$113</definedName>
    <definedName name="_xlnm.Print_Area" localSheetId="0">'2309～'!$AA$2:$AJ$41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21" l="1"/>
  <c r="N81" i="21"/>
  <c r="N80" i="21"/>
  <c r="N79" i="21"/>
  <c r="N78" i="21"/>
  <c r="N77" i="21"/>
  <c r="N76" i="21"/>
  <c r="N75" i="21"/>
  <c r="N74" i="21"/>
  <c r="N73" i="21"/>
  <c r="N72" i="21"/>
  <c r="N71" i="21"/>
  <c r="N70" i="21"/>
  <c r="N69" i="21"/>
  <c r="N68" i="21"/>
  <c r="N67" i="21"/>
  <c r="N66" i="21"/>
  <c r="N65" i="21"/>
  <c r="N64" i="21"/>
  <c r="N63" i="21"/>
  <c r="N62" i="21"/>
  <c r="N61" i="21"/>
  <c r="N60" i="21"/>
  <c r="N59" i="21"/>
  <c r="N58" i="21"/>
  <c r="N57" i="21"/>
  <c r="N56" i="21"/>
  <c r="N55" i="21"/>
  <c r="N54" i="21"/>
  <c r="N53" i="21"/>
  <c r="B90" i="21" l="1"/>
  <c r="G106" i="21"/>
  <c r="B99" i="21"/>
  <c r="J99" i="21" s="1"/>
  <c r="A99" i="21"/>
  <c r="B98" i="21"/>
  <c r="F98" i="21" s="1"/>
  <c r="A98" i="21"/>
  <c r="C97" i="21"/>
  <c r="B97" i="21"/>
  <c r="J97" i="21" s="1"/>
  <c r="A97" i="21"/>
  <c r="B96" i="21"/>
  <c r="F96" i="21" s="1"/>
  <c r="A96" i="21"/>
  <c r="C95" i="21"/>
  <c r="B95" i="21"/>
  <c r="J95" i="21" s="1"/>
  <c r="A95" i="21"/>
  <c r="C94" i="21"/>
  <c r="B94" i="21"/>
  <c r="F94" i="21" s="1"/>
  <c r="A94" i="21"/>
  <c r="F93" i="21"/>
  <c r="C93" i="21"/>
  <c r="B93" i="21"/>
  <c r="J93" i="21" s="1"/>
  <c r="A93" i="21"/>
  <c r="E92" i="21"/>
  <c r="C92" i="21"/>
  <c r="B92" i="21"/>
  <c r="F92" i="21" s="1"/>
  <c r="A92" i="21"/>
  <c r="G91" i="21"/>
  <c r="F91" i="21"/>
  <c r="C91" i="21"/>
  <c r="B91" i="21"/>
  <c r="J91" i="21" s="1"/>
  <c r="A91" i="21"/>
  <c r="G90" i="21"/>
  <c r="E90" i="21"/>
  <c r="C90" i="21"/>
  <c r="L90" i="21"/>
  <c r="B82" i="21"/>
  <c r="J82" i="21" s="1"/>
  <c r="A82" i="21"/>
  <c r="L81" i="21"/>
  <c r="K81" i="21"/>
  <c r="I81" i="21"/>
  <c r="G81" i="21"/>
  <c r="F81" i="21"/>
  <c r="E81" i="21"/>
  <c r="D81" i="21"/>
  <c r="C81" i="21"/>
  <c r="B81" i="21"/>
  <c r="J81" i="21" s="1"/>
  <c r="A81" i="21"/>
  <c r="L80" i="21"/>
  <c r="E80" i="21"/>
  <c r="D80" i="21"/>
  <c r="B80" i="21"/>
  <c r="J80" i="21" s="1"/>
  <c r="A80" i="21"/>
  <c r="K79" i="21"/>
  <c r="I79" i="21"/>
  <c r="G79" i="21"/>
  <c r="D79" i="21"/>
  <c r="C79" i="21"/>
  <c r="B79" i="21"/>
  <c r="J79" i="21" s="1"/>
  <c r="A79" i="21"/>
  <c r="B78" i="21"/>
  <c r="J78" i="21" s="1"/>
  <c r="A78" i="21"/>
  <c r="L77" i="21"/>
  <c r="K77" i="21"/>
  <c r="G77" i="21"/>
  <c r="F77" i="21"/>
  <c r="E77" i="21"/>
  <c r="D77" i="21"/>
  <c r="B77" i="21"/>
  <c r="J77" i="21" s="1"/>
  <c r="A77" i="21"/>
  <c r="L76" i="21"/>
  <c r="E76" i="21"/>
  <c r="D76" i="21"/>
  <c r="B76" i="21"/>
  <c r="J76" i="21" s="1"/>
  <c r="A76" i="21"/>
  <c r="B75" i="21"/>
  <c r="F75" i="21" s="1"/>
  <c r="A75" i="21"/>
  <c r="L74" i="21"/>
  <c r="K74" i="21"/>
  <c r="G74" i="21"/>
  <c r="E74" i="21"/>
  <c r="D74" i="21"/>
  <c r="C74" i="21"/>
  <c r="B74" i="21"/>
  <c r="J74" i="21" s="1"/>
  <c r="A74" i="21"/>
  <c r="L73" i="21"/>
  <c r="C73" i="21"/>
  <c r="B73" i="21"/>
  <c r="F73" i="21" s="1"/>
  <c r="A73" i="21"/>
  <c r="H72" i="21"/>
  <c r="G72" i="21"/>
  <c r="B72" i="21"/>
  <c r="J72" i="21" s="1"/>
  <c r="A72" i="21"/>
  <c r="B71" i="21"/>
  <c r="H71" i="21" s="1"/>
  <c r="A71" i="21"/>
  <c r="E70" i="21"/>
  <c r="C70" i="21"/>
  <c r="B70" i="21"/>
  <c r="L70" i="21" s="1"/>
  <c r="A70" i="21"/>
  <c r="G69" i="21"/>
  <c r="E69" i="21"/>
  <c r="B69" i="21"/>
  <c r="H69" i="21" s="1"/>
  <c r="A69" i="21"/>
  <c r="I68" i="21"/>
  <c r="H68" i="21"/>
  <c r="E68" i="21"/>
  <c r="B68" i="21"/>
  <c r="L68" i="21" s="1"/>
  <c r="A68" i="21"/>
  <c r="B67" i="21"/>
  <c r="H67" i="21" s="1"/>
  <c r="A67" i="21"/>
  <c r="I66" i="21"/>
  <c r="F66" i="21"/>
  <c r="E66" i="21"/>
  <c r="C66" i="21"/>
  <c r="B66" i="21"/>
  <c r="L66" i="21" s="1"/>
  <c r="A66" i="21"/>
  <c r="G65" i="21"/>
  <c r="E65" i="21"/>
  <c r="B65" i="21"/>
  <c r="H65" i="21" s="1"/>
  <c r="A65" i="21"/>
  <c r="I64" i="21"/>
  <c r="H64" i="21"/>
  <c r="E64" i="21"/>
  <c r="B64" i="21"/>
  <c r="L64" i="21" s="1"/>
  <c r="A64" i="21"/>
  <c r="B63" i="21"/>
  <c r="H63" i="21" s="1"/>
  <c r="A63" i="21"/>
  <c r="I62" i="21"/>
  <c r="E62" i="21"/>
  <c r="C62" i="21"/>
  <c r="B62" i="21"/>
  <c r="L62" i="21" s="1"/>
  <c r="A62" i="21"/>
  <c r="G61" i="21"/>
  <c r="E61" i="21"/>
  <c r="B61" i="21"/>
  <c r="H61" i="21" s="1"/>
  <c r="A61" i="21"/>
  <c r="I60" i="21"/>
  <c r="H60" i="21"/>
  <c r="E60" i="21"/>
  <c r="B60" i="21"/>
  <c r="L60" i="21" s="1"/>
  <c r="A60" i="21"/>
  <c r="B59" i="21"/>
  <c r="H59" i="21" s="1"/>
  <c r="A59" i="21"/>
  <c r="I58" i="21"/>
  <c r="F58" i="21"/>
  <c r="E58" i="21"/>
  <c r="C58" i="21"/>
  <c r="B58" i="21"/>
  <c r="L58" i="21" s="1"/>
  <c r="A58" i="21"/>
  <c r="G57" i="21"/>
  <c r="E57" i="21"/>
  <c r="B57" i="21"/>
  <c r="H57" i="21" s="1"/>
  <c r="A57" i="21"/>
  <c r="I56" i="21"/>
  <c r="H56" i="21"/>
  <c r="E56" i="21"/>
  <c r="B56" i="21"/>
  <c r="L56" i="21" s="1"/>
  <c r="A56" i="21"/>
  <c r="B55" i="21"/>
  <c r="H55" i="21" s="1"/>
  <c r="A55" i="21"/>
  <c r="I54" i="21"/>
  <c r="F54" i="21"/>
  <c r="E54" i="21"/>
  <c r="C54" i="21"/>
  <c r="B54" i="21"/>
  <c r="L54" i="21" s="1"/>
  <c r="A54" i="21"/>
  <c r="G53" i="21"/>
  <c r="E53" i="21"/>
  <c r="B53" i="21"/>
  <c r="H53" i="21" s="1"/>
  <c r="A53" i="21"/>
  <c r="M49" i="21"/>
  <c r="M48" i="21"/>
  <c r="M47" i="21"/>
  <c r="M46" i="21"/>
  <c r="M45" i="21"/>
  <c r="M44" i="21"/>
  <c r="M43" i="21"/>
  <c r="M42" i="21"/>
  <c r="M41" i="21"/>
  <c r="M40" i="21"/>
  <c r="AA38" i="21"/>
  <c r="AA37" i="21"/>
  <c r="M37" i="21"/>
  <c r="AA36" i="21"/>
  <c r="M36" i="21"/>
  <c r="AE35" i="21"/>
  <c r="M35" i="21"/>
  <c r="M34" i="21"/>
  <c r="M33" i="21"/>
  <c r="M32" i="21"/>
  <c r="M31" i="21"/>
  <c r="M30" i="21"/>
  <c r="M29" i="21"/>
  <c r="M28" i="21"/>
  <c r="M27" i="21"/>
  <c r="M26" i="21"/>
  <c r="AE25" i="21"/>
  <c r="J113" i="21" s="1"/>
  <c r="M25" i="21"/>
  <c r="AE24" i="21"/>
  <c r="M24" i="21"/>
  <c r="AE23" i="21"/>
  <c r="M23" i="21"/>
  <c r="AE22" i="21"/>
  <c r="M22" i="21"/>
  <c r="AE21" i="21"/>
  <c r="M21" i="21"/>
  <c r="AE20" i="21"/>
  <c r="AE18" i="21" s="1"/>
  <c r="M20" i="21"/>
  <c r="AO19" i="21"/>
  <c r="M19" i="21"/>
  <c r="AK18" i="21"/>
  <c r="AG18" i="21"/>
  <c r="G113" i="21" s="1"/>
  <c r="M18" i="21"/>
  <c r="M17" i="21"/>
  <c r="AP16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B7" i="21"/>
  <c r="AI5" i="21"/>
  <c r="L53" i="21" l="1"/>
  <c r="H54" i="21"/>
  <c r="E55" i="21"/>
  <c r="C56" i="21"/>
  <c r="L57" i="21"/>
  <c r="H58" i="21"/>
  <c r="E59" i="21"/>
  <c r="C60" i="21"/>
  <c r="L61" i="21"/>
  <c r="H62" i="21"/>
  <c r="E63" i="21"/>
  <c r="C64" i="21"/>
  <c r="L65" i="21"/>
  <c r="H66" i="21"/>
  <c r="E67" i="21"/>
  <c r="C68" i="21"/>
  <c r="L69" i="21"/>
  <c r="H70" i="21"/>
  <c r="E71" i="21"/>
  <c r="C72" i="21"/>
  <c r="K72" i="21"/>
  <c r="E73" i="21"/>
  <c r="I74" i="21"/>
  <c r="D75" i="21"/>
  <c r="H76" i="21"/>
  <c r="C77" i="21"/>
  <c r="I77" i="21"/>
  <c r="D78" i="21"/>
  <c r="L78" i="21"/>
  <c r="F79" i="21"/>
  <c r="H80" i="21"/>
  <c r="D82" i="21"/>
  <c r="L82" i="21"/>
  <c r="K91" i="21"/>
  <c r="K92" i="21"/>
  <c r="I93" i="21"/>
  <c r="G94" i="21"/>
  <c r="G95" i="21"/>
  <c r="G96" i="21"/>
  <c r="G97" i="21"/>
  <c r="E98" i="21"/>
  <c r="F99" i="21"/>
  <c r="G55" i="21"/>
  <c r="G59" i="21"/>
  <c r="G63" i="21"/>
  <c r="G67" i="21"/>
  <c r="I70" i="21"/>
  <c r="G71" i="21"/>
  <c r="D72" i="21"/>
  <c r="L72" i="21"/>
  <c r="G73" i="21"/>
  <c r="E75" i="21"/>
  <c r="I76" i="21"/>
  <c r="E78" i="21"/>
  <c r="I80" i="21"/>
  <c r="E82" i="21"/>
  <c r="B83" i="21"/>
  <c r="B85" i="21" s="1"/>
  <c r="K93" i="21"/>
  <c r="K94" i="21"/>
  <c r="I95" i="21"/>
  <c r="K96" i="21"/>
  <c r="I97" i="21"/>
  <c r="G98" i="21"/>
  <c r="G99" i="21"/>
  <c r="D53" i="21"/>
  <c r="K54" i="21"/>
  <c r="I55" i="21"/>
  <c r="F56" i="21"/>
  <c r="D57" i="21"/>
  <c r="K58" i="21"/>
  <c r="I59" i="21"/>
  <c r="F60" i="21"/>
  <c r="D61" i="21"/>
  <c r="K62" i="21"/>
  <c r="I63" i="21"/>
  <c r="F64" i="21"/>
  <c r="D65" i="21"/>
  <c r="K66" i="21"/>
  <c r="I67" i="21"/>
  <c r="F68" i="21"/>
  <c r="D69" i="21"/>
  <c r="K70" i="21"/>
  <c r="I71" i="21"/>
  <c r="E72" i="21"/>
  <c r="H73" i="21"/>
  <c r="G75" i="21"/>
  <c r="C76" i="21"/>
  <c r="K76" i="21"/>
  <c r="G78" i="21"/>
  <c r="H79" i="21"/>
  <c r="C80" i="21"/>
  <c r="K80" i="21"/>
  <c r="G82" i="21"/>
  <c r="K95" i="21"/>
  <c r="K97" i="21"/>
  <c r="K98" i="21"/>
  <c r="I99" i="21"/>
  <c r="L55" i="21"/>
  <c r="L59" i="21"/>
  <c r="L63" i="21"/>
  <c r="L67" i="21"/>
  <c r="L71" i="21"/>
  <c r="I73" i="21"/>
  <c r="H75" i="21"/>
  <c r="H78" i="21"/>
  <c r="H82" i="21"/>
  <c r="K99" i="21"/>
  <c r="I75" i="21"/>
  <c r="I78" i="21"/>
  <c r="I82" i="21"/>
  <c r="I53" i="21"/>
  <c r="D55" i="21"/>
  <c r="K56" i="21"/>
  <c r="I57" i="21"/>
  <c r="D59" i="21"/>
  <c r="K60" i="21"/>
  <c r="I61" i="21"/>
  <c r="F62" i="21"/>
  <c r="D63" i="21"/>
  <c r="K64" i="21"/>
  <c r="I65" i="21"/>
  <c r="D67" i="21"/>
  <c r="K68" i="21"/>
  <c r="I69" i="21"/>
  <c r="F70" i="21"/>
  <c r="D71" i="21"/>
  <c r="I72" i="21"/>
  <c r="D73" i="21"/>
  <c r="H74" i="21"/>
  <c r="H83" i="21" s="1"/>
  <c r="C75" i="21"/>
  <c r="L75" i="21"/>
  <c r="G76" i="21"/>
  <c r="H77" i="21"/>
  <c r="C78" i="21"/>
  <c r="K78" i="21"/>
  <c r="E79" i="21"/>
  <c r="L79" i="21"/>
  <c r="G80" i="21"/>
  <c r="H81" i="21"/>
  <c r="C82" i="21"/>
  <c r="K82" i="21"/>
  <c r="I91" i="21"/>
  <c r="G92" i="21"/>
  <c r="G93" i="21"/>
  <c r="G100" i="21" s="1"/>
  <c r="E94" i="21"/>
  <c r="F95" i="21"/>
  <c r="C96" i="21"/>
  <c r="C100" i="21" s="1"/>
  <c r="C102" i="21" s="1"/>
  <c r="C103" i="21" s="1"/>
  <c r="F97" i="21"/>
  <c r="C98" i="21"/>
  <c r="C99" i="21"/>
  <c r="I83" i="21"/>
  <c r="E85" i="21"/>
  <c r="L85" i="21"/>
  <c r="L86" i="21" s="1"/>
  <c r="E86" i="21"/>
  <c r="J53" i="21"/>
  <c r="J55" i="21"/>
  <c r="J57" i="21"/>
  <c r="J59" i="21"/>
  <c r="J61" i="21"/>
  <c r="J63" i="21"/>
  <c r="J65" i="21"/>
  <c r="J67" i="21"/>
  <c r="J69" i="21"/>
  <c r="J71" i="21"/>
  <c r="F72" i="21"/>
  <c r="J73" i="21"/>
  <c r="F74" i="21"/>
  <c r="J75" i="21"/>
  <c r="F76" i="21"/>
  <c r="F78" i="21"/>
  <c r="F80" i="21"/>
  <c r="F82" i="21"/>
  <c r="H90" i="21"/>
  <c r="D91" i="21"/>
  <c r="L91" i="21"/>
  <c r="H92" i="21"/>
  <c r="D93" i="21"/>
  <c r="L93" i="21"/>
  <c r="H94" i="21"/>
  <c r="D95" i="21"/>
  <c r="L95" i="21"/>
  <c r="H96" i="21"/>
  <c r="D97" i="21"/>
  <c r="L97" i="21"/>
  <c r="H98" i="21"/>
  <c r="D99" i="21"/>
  <c r="L99" i="21"/>
  <c r="AK24" i="21"/>
  <c r="C53" i="21"/>
  <c r="K53" i="21"/>
  <c r="G54" i="21"/>
  <c r="C55" i="21"/>
  <c r="K55" i="21"/>
  <c r="G56" i="21"/>
  <c r="C57" i="21"/>
  <c r="K57" i="21"/>
  <c r="G58" i="21"/>
  <c r="C59" i="21"/>
  <c r="K59" i="21"/>
  <c r="G60" i="21"/>
  <c r="C61" i="21"/>
  <c r="K61" i="21"/>
  <c r="G62" i="21"/>
  <c r="C63" i="21"/>
  <c r="K63" i="21"/>
  <c r="G64" i="21"/>
  <c r="C65" i="21"/>
  <c r="K65" i="21"/>
  <c r="G66" i="21"/>
  <c r="C67" i="21"/>
  <c r="K67" i="21"/>
  <c r="G68" i="21"/>
  <c r="C69" i="21"/>
  <c r="K69" i="21"/>
  <c r="G70" i="21"/>
  <c r="C71" i="21"/>
  <c r="K71" i="21"/>
  <c r="K73" i="21"/>
  <c r="K75" i="21"/>
  <c r="L83" i="21"/>
  <c r="I85" i="21"/>
  <c r="I86" i="21" s="1"/>
  <c r="I90" i="21"/>
  <c r="E91" i="21"/>
  <c r="I92" i="21"/>
  <c r="E93" i="21"/>
  <c r="I94" i="21"/>
  <c r="E95" i="21"/>
  <c r="I96" i="21"/>
  <c r="E97" i="21"/>
  <c r="I98" i="21"/>
  <c r="E99" i="21"/>
  <c r="B100" i="21"/>
  <c r="B102" i="21" s="1"/>
  <c r="AG13" i="21" s="1"/>
  <c r="G102" i="21"/>
  <c r="E83" i="21"/>
  <c r="J90" i="21"/>
  <c r="J92" i="21"/>
  <c r="J94" i="21"/>
  <c r="J96" i="21"/>
  <c r="J98" i="21"/>
  <c r="K90" i="21"/>
  <c r="F53" i="21"/>
  <c r="J54" i="21"/>
  <c r="F55" i="21"/>
  <c r="J56" i="21"/>
  <c r="F57" i="21"/>
  <c r="J58" i="21"/>
  <c r="F59" i="21"/>
  <c r="J60" i="21"/>
  <c r="F61" i="21"/>
  <c r="J62" i="21"/>
  <c r="F63" i="21"/>
  <c r="J64" i="21"/>
  <c r="F65" i="21"/>
  <c r="J66" i="21"/>
  <c r="F67" i="21"/>
  <c r="J68" i="21"/>
  <c r="F69" i="21"/>
  <c r="J70" i="21"/>
  <c r="F71" i="21"/>
  <c r="D90" i="21"/>
  <c r="H91" i="21"/>
  <c r="D92" i="21"/>
  <c r="L92" i="21"/>
  <c r="H93" i="21"/>
  <c r="D94" i="21"/>
  <c r="L94" i="21"/>
  <c r="H95" i="21"/>
  <c r="D96" i="21"/>
  <c r="L96" i="21"/>
  <c r="H97" i="21"/>
  <c r="D98" i="21"/>
  <c r="L98" i="21"/>
  <c r="H99" i="21"/>
  <c r="E96" i="21"/>
  <c r="D54" i="21"/>
  <c r="D83" i="21" s="1"/>
  <c r="D56" i="21"/>
  <c r="D58" i="21"/>
  <c r="D60" i="21"/>
  <c r="D62" i="21"/>
  <c r="D64" i="21"/>
  <c r="D66" i="21"/>
  <c r="D68" i="21"/>
  <c r="D70" i="21"/>
  <c r="G103" i="21" l="1"/>
  <c r="D85" i="21"/>
  <c r="D86" i="21" s="1"/>
  <c r="H85" i="21"/>
  <c r="H86" i="21" s="1"/>
  <c r="E100" i="21"/>
  <c r="L102" i="21"/>
  <c r="L103" i="21" s="1"/>
  <c r="G85" i="21"/>
  <c r="G86" i="21" s="1"/>
  <c r="K85" i="21"/>
  <c r="K86" i="21" s="1"/>
  <c r="K83" i="21"/>
  <c r="D102" i="21"/>
  <c r="D103" i="21" s="1"/>
  <c r="D100" i="21"/>
  <c r="C83" i="21"/>
  <c r="C85" i="21" s="1"/>
  <c r="C86" i="21" s="1"/>
  <c r="H102" i="21"/>
  <c r="H103" i="21" s="1"/>
  <c r="H100" i="21"/>
  <c r="I102" i="21"/>
  <c r="I103" i="21" s="1"/>
  <c r="I100" i="21"/>
  <c r="J102" i="21"/>
  <c r="J103" i="21" s="1"/>
  <c r="J100" i="21"/>
  <c r="J85" i="21"/>
  <c r="J86" i="21" s="1"/>
  <c r="J83" i="21"/>
  <c r="F85" i="21"/>
  <c r="F86" i="21" s="1"/>
  <c r="F83" i="21"/>
  <c r="G83" i="21"/>
  <c r="L100" i="21"/>
  <c r="K102" i="21"/>
  <c r="K103" i="21" s="1"/>
  <c r="K100" i="21"/>
  <c r="AG15" i="21"/>
  <c r="AP19" i="21"/>
  <c r="I113" i="21"/>
  <c r="AG21" i="21"/>
  <c r="AG25" i="21"/>
  <c r="AG23" i="21"/>
  <c r="Z23" i="21" s="1"/>
  <c r="AG20" i="21"/>
  <c r="AG24" i="21"/>
  <c r="Z24" i="21" s="1"/>
  <c r="AG22" i="21"/>
  <c r="AG16" i="21"/>
  <c r="E113" i="21" s="1"/>
  <c r="E102" i="21"/>
  <c r="E103" i="21" s="1"/>
  <c r="B86" i="21" l="1"/>
  <c r="F87" i="21" s="1"/>
  <c r="D113" i="21"/>
  <c r="H113" i="21"/>
  <c r="F90" i="21" l="1"/>
  <c r="B87" i="21"/>
  <c r="F100" i="21" l="1"/>
  <c r="F102" i="21"/>
  <c r="F103" i="21" s="1"/>
  <c r="B103" i="21" l="1"/>
  <c r="F104" i="21" s="1"/>
  <c r="C108" i="21" l="1"/>
  <c r="AE14" i="21" s="1"/>
  <c r="AO18" i="21"/>
  <c r="F106" i="21"/>
  <c r="B104" i="21"/>
  <c r="AO17" i="21" l="1"/>
  <c r="AE17" i="21"/>
  <c r="AG17" i="21" s="1"/>
  <c r="AP17" i="21" l="1"/>
  <c r="AP18" i="21" s="1"/>
  <c r="F113" i="21"/>
  <c r="AG14" i="21"/>
  <c r="C113" i="21" s="1"/>
</calcChain>
</file>

<file path=xl/sharedStrings.xml><?xml version="1.0" encoding="utf-8"?>
<sst xmlns="http://schemas.openxmlformats.org/spreadsheetml/2006/main" count="200" uniqueCount="137">
  <si>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</si>
  <si>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</si>
  <si>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</si>
  <si>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</si>
  <si>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</si>
  <si>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</si>
  <si>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</si>
  <si>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</si>
  <si>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</si>
  <si>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</si>
  <si>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</si>
  <si>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</si>
  <si>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</si>
  <si>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</si>
  <si>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</si>
  <si>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</si>
  <si>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</si>
  <si>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</si>
  <si>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</si>
  <si>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</si>
  <si>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</si>
  <si>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</si>
  <si>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</si>
  <si>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</si>
  <si>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</si>
  <si>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</si>
  <si>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</si>
  <si>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</si>
  <si>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</si>
  <si>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</si>
  <si>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</si>
  <si>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</si>
  <si>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</si>
  <si>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</si>
  <si>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</si>
  <si>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</si>
  <si>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</si>
  <si>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</si>
  <si>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</si>
  <si>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</si>
  <si>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</si>
  <si>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</si>
  <si>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</si>
  <si>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</si>
  <si>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</si>
  <si>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</si>
  <si>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</si>
  <si>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</si>
  <si>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</si>
  <si>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</si>
  <si>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</si>
  <si>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</si>
  <si>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</si>
  <si>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</si>
  <si>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</si>
  <si>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</si>
  <si>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上白糖</t>
  </si>
  <si>
    <t>精製塩</t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</si>
  <si>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</si>
  <si>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</si>
  <si>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</si>
  <si>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</si>
  <si>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</si>
  <si>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</si>
  <si>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</si>
  <si>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</si>
  <si>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</si>
  <si>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</si>
  <si>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</si>
  <si>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</si>
  <si>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</si>
  <si>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</si>
  <si>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</si>
  <si>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</si>
  <si>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</si>
  <si>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</si>
  <si>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</si>
  <si>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</si>
  <si>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</si>
  <si>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仕込水（※ラボ吸水）</t>
  </si>
  <si>
    <t>100ｇ当たり</t>
    <rPh sb="4" eb="5">
      <t>ア</t>
    </rPh>
    <phoneticPr fontId="16"/>
  </si>
  <si>
    <t>ぶどう糖/含水結晶</t>
  </si>
  <si>
    <t>※AA1ｾﾙ変更禁止！</t>
  </si>
  <si>
    <t>分類</t>
    <rPh sb="0" eb="2">
      <t>ブンルイ</t>
    </rPh>
    <phoneticPr fontId="1"/>
  </si>
  <si>
    <t>2309～生地ﾘﾆｭｰｱﾙ　2023/6/29</t>
    <rPh sb="5" eb="7">
      <t>キジ</t>
    </rPh>
    <phoneticPr fontId="16"/>
  </si>
  <si>
    <t>ｺﾚｽﾃﾛｰﾙ</t>
    <phoneticPr fontId="2"/>
  </si>
  <si>
    <t>016267001</t>
  </si>
  <si>
    <t>コレステロール</t>
    <phoneticPr fontId="2"/>
  </si>
  <si>
    <t>ﾘｹﾌﾞﾚｯﾄﾞDH</t>
  </si>
  <si>
    <t>019181001</t>
  </si>
  <si>
    <t>ﾊｲﾄﾗｲLG</t>
  </si>
  <si>
    <t>014294001</t>
  </si>
  <si>
    <t>ﾌﾞﾚｯﾄﾞﾗｲﾌAP-200</t>
    <phoneticPr fontId="16"/>
  </si>
  <si>
    <t>016440001</t>
  </si>
  <si>
    <t>F-ADM-SP(Sﾀｲﾌﾟ)</t>
  </si>
  <si>
    <t>ナトリウム</t>
    <phoneticPr fontId="2"/>
  </si>
  <si>
    <t>全卵/生</t>
  </si>
  <si>
    <t>005127001</t>
  </si>
  <si>
    <t>ふんわり菓子ﾊﾟﾝﾍﾞｰｽﾐｯｸｽB-270</t>
  </si>
  <si>
    <t>100g当たり</t>
    <phoneticPr fontId="16"/>
  </si>
  <si>
    <t>018431001</t>
  </si>
  <si>
    <t>GL100</t>
  </si>
  <si>
    <t>018502001</t>
  </si>
  <si>
    <t>ﾌｫｰｶｽC(1L)</t>
  </si>
  <si>
    <t>000008001</t>
  </si>
  <si>
    <t>002490001</t>
  </si>
  <si>
    <t>008833001</t>
  </si>
  <si>
    <t>000007001</t>
  </si>
  <si>
    <t>009049001</t>
  </si>
  <si>
    <t>017283001</t>
  </si>
  <si>
    <t>1</t>
    <phoneticPr fontId="16"/>
  </si>
  <si>
    <t>ﾛﾝｸﾞｽﾃｨｯｸ</t>
    <phoneticPr fontId="16"/>
  </si>
  <si>
    <t>計算表(ﾛﾝｸﾞｽﾃｨｯｸ用)</t>
    <phoneticPr fontId="16"/>
  </si>
  <si>
    <t>計算者：</t>
    <phoneticPr fontId="16"/>
  </si>
  <si>
    <t>確認者：</t>
    <phoneticPr fontId="16"/>
  </si>
  <si>
    <t>ｸｰﾄﾞｼｬﾝｽ 袋</t>
    <phoneticPr fontId="16"/>
  </si>
  <si>
    <t>FNS-3</t>
    <phoneticPr fontId="16"/>
  </si>
  <si>
    <t>NFｲｰｽﾄﾇｰﾄﾞ</t>
    <phoneticPr fontId="16"/>
  </si>
  <si>
    <t>Cｵﾘｴﾝﾀﾙﾌｰﾄﾞ</t>
    <phoneticPr fontId="16"/>
  </si>
  <si>
    <t>ｿﾌｨｶﾙDX</t>
    <phoneticPr fontId="16"/>
  </si>
  <si>
    <t>100g当たり</t>
    <phoneticPr fontId="2"/>
  </si>
  <si>
    <t>g</t>
    <phoneticPr fontId="2"/>
  </si>
  <si>
    <t>エネルギー</t>
    <phoneticPr fontId="2"/>
  </si>
  <si>
    <t>*糖質＝炭水化物－食物繊維</t>
    <phoneticPr fontId="2"/>
  </si>
  <si>
    <t>　必要な際は再表示にして使用してください。</t>
    <phoneticPr fontId="16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</si>
  <si>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</si>
  <si>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</si>
  <si>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</si>
  <si>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MKｿﾌﾄNF 12 LT</t>
    <phoneticPr fontId="16"/>
  </si>
  <si>
    <t>016494001</t>
    <phoneticPr fontId="16"/>
  </si>
  <si>
    <t>HP対応</t>
    <rPh sb="2" eb="4">
      <t>タイオウ</t>
    </rPh>
    <phoneticPr fontId="16"/>
  </si>
  <si>
    <t>ﾓﾙﾄｴｰｽ 20</t>
    <phoneticPr fontId="16"/>
  </si>
  <si>
    <t>000187001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</si>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</sst>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yyyy&quot;年&quot;m&quot;月&quot;d&quot;日&quot;;@"/>
    <numFmt numFmtId="188" formatCode="0.0_ ;[Red]\-0.0\ 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41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0" fontId="34" fillId="0" borderId="14" xfId="0" applyFont="1" applyFill="1" applyBorder="1" applyProtection="1">
      <protection locked="0"/>
    </xf>
    <xf numFmtId="183" fontId="4" fillId="0" borderId="0" xfId="5" applyNumberFormat="1" applyFont="1" applyProtection="1">
      <protection locked="0"/>
    </xf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2" fontId="4" fillId="6" borderId="28" xfId="4" applyNumberFormat="1" applyFont="1" applyFill="1" applyBorder="1" applyProtection="1">
      <protection locked="0"/>
    </xf>
    <xf numFmtId="186" fontId="9" fillId="0" borderId="13" xfId="4" applyNumberFormat="1" applyFont="1" applyBorder="1" applyAlignment="1">
      <alignment horizontal="center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5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7" xfId="4" applyFont="1" applyFill="1" applyBorder="1"/>
    <xf numFmtId="178" fontId="37" fillId="7" borderId="38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178" fontId="5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181" fontId="34" fillId="0" borderId="14" xfId="0" applyNumberFormat="1" applyFont="1" applyBorder="1" applyProtection="1">
      <protection locked="0"/>
    </xf>
    <xf numFmtId="188" fontId="4" fillId="4" borderId="29" xfId="1" applyNumberFormat="1" applyFont="1" applyFill="1" applyBorder="1" applyProtection="1">
      <protection locked="0"/>
    </xf>
    <xf numFmtId="2" fontId="40" fillId="0" borderId="0" xfId="4" applyNumberFormat="1" applyFont="1" applyProtection="1">
      <protection locked="0"/>
    </xf>
    <xf numFmtId="185" fontId="34" fillId="0" borderId="14" xfId="0" applyNumberFormat="1" applyFont="1" applyFill="1" applyBorder="1" applyProtection="1">
      <protection locked="0"/>
    </xf>
    <xf numFmtId="181" fontId="0" fillId="0" borderId="14" xfId="0" applyNumberFormat="1" applyFill="1" applyBorder="1"/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2" fontId="5" fillId="3" borderId="23" xfId="4" applyFont="1" applyFill="1" applyBorder="1" applyAlignment="1">
      <alignment horizontal="center" vertical="center" wrapText="1"/>
    </xf>
    <xf numFmtId="187" fontId="5" fillId="7" borderId="31" xfId="4" applyNumberFormat="1" applyFont="1" applyFill="1" applyBorder="1" applyAlignment="1">
      <alignment horizontal="left"/>
    </xf>
    <xf numFmtId="187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6" applyNumberFormat="1" applyFont="1" applyFill="1" applyBorder="1" applyAlignment="1" applyProtection="1">
      <protection locked="0"/>
    </xf>
  </cellXfs>
  <cellStyles count="9">
    <cellStyle name="パーセント" xfId="6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195942</xdr:colOff>
      <xdr:row>86</xdr:row>
      <xdr:rowOff>195943</xdr:rowOff>
    </xdr:from>
    <xdr:to>
      <xdr:col>8</xdr:col>
      <xdr:colOff>609600</xdr:colOff>
      <xdr:row>87</xdr:row>
      <xdr:rowOff>185057</xdr:rowOff>
    </xdr:to>
    <xdr:sp macro="" textlink="">
      <xdr:nvSpPr>
        <xdr:cNvPr id="2" name="線吹き出し 1 (枠付き) 1"/>
        <xdr:cNvSpPr/>
      </xdr:nvSpPr>
      <xdr:spPr bwMode="auto">
        <a:xfrm>
          <a:off x="3022962" y="19726003"/>
          <a:ext cx="4551318" cy="194854"/>
        </a:xfrm>
        <a:prstGeom prst="borderCallout1">
          <a:avLst>
            <a:gd name="adj1" fmla="val 39343"/>
            <a:gd name="adj2" fmla="val 27"/>
            <a:gd name="adj3" fmla="val 244447"/>
            <a:gd name="adj4" fmla="val -5445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規格書の規格重量に合わせて　焼成後の生地重量を調整してください。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600075</xdr:colOff>
          <xdr:row>87</xdr:row>
          <xdr:rowOff>47625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209550</xdr:colOff>
          <xdr:row>87</xdr:row>
          <xdr:rowOff>66675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657225</xdr:colOff>
          <xdr:row>104</xdr:row>
          <xdr:rowOff>57150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103</xdr:row>
          <xdr:rowOff>0</xdr:rowOff>
        </xdr:from>
        <xdr:to>
          <xdr:col>26</xdr:col>
          <xdr:colOff>200025</xdr:colOff>
          <xdr:row>104</xdr:row>
          <xdr:rowOff>57150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190500</xdr:colOff>
          <xdr:row>5</xdr:row>
          <xdr:rowOff>19050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32.7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6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84</v>
      </c>
      <c r="D1" s="84"/>
      <c r="E1" s="2"/>
      <c r="F1" s="2"/>
      <c r="G1" s="2"/>
      <c r="H1" s="2"/>
      <c r="I1" s="2"/>
      <c r="J1" s="2"/>
      <c r="K1" s="2"/>
      <c r="L1" s="120"/>
      <c r="M1" s="3" t="s">
        <v>130</v>
      </c>
      <c r="AA1" s="2" t="s">
        <v>112</v>
      </c>
      <c r="AD1" s="3" t="s">
        <v>82</v>
      </c>
    </row>
    <row r="2" spans="1:60" x14ac:dyDescent="0.2">
      <c r="A2" s="116" t="s">
        <v>73</v>
      </c>
      <c r="B2" s="2"/>
      <c r="C2" s="2"/>
      <c r="D2" s="84"/>
      <c r="E2" s="2"/>
      <c r="F2" s="2"/>
      <c r="G2" s="2"/>
      <c r="H2" s="2"/>
      <c r="I2" s="2"/>
      <c r="J2" s="2"/>
      <c r="K2" s="2"/>
      <c r="L2" s="120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55</v>
      </c>
      <c r="B3" s="2"/>
      <c r="C3" s="2"/>
      <c r="D3" s="84"/>
      <c r="E3" s="32"/>
      <c r="F3" s="2"/>
      <c r="G3" s="2"/>
      <c r="H3" s="2"/>
      <c r="I3" s="2"/>
      <c r="J3" s="2"/>
      <c r="K3" s="2"/>
      <c r="L3" s="120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76</v>
      </c>
      <c r="B4" s="2"/>
      <c r="D4" s="2"/>
      <c r="E4" s="2"/>
      <c r="F4" s="172" t="s">
        <v>83</v>
      </c>
      <c r="G4" s="192"/>
      <c r="H4" s="193"/>
      <c r="I4" s="2"/>
      <c r="J4" s="2"/>
      <c r="K4" s="2"/>
      <c r="L4" s="120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194" t="s">
        <v>1</v>
      </c>
      <c r="B5" s="195"/>
      <c r="C5" s="195"/>
      <c r="D5" s="195"/>
      <c r="E5" s="196"/>
      <c r="F5" s="126" t="s">
        <v>58</v>
      </c>
      <c r="G5" s="126" t="s">
        <v>59</v>
      </c>
      <c r="H5" s="126" t="s">
        <v>60</v>
      </c>
      <c r="I5" s="160" t="s">
        <v>133</v>
      </c>
      <c r="J5" s="2"/>
      <c r="K5" s="2" t="s">
        <v>113</v>
      </c>
      <c r="L5" s="120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197" t="s">
        <v>111</v>
      </c>
      <c r="B6" s="198"/>
      <c r="C6" s="198"/>
      <c r="D6" s="198"/>
      <c r="E6" s="199"/>
      <c r="F6" s="127" t="s">
        <v>110</v>
      </c>
      <c r="G6" s="128" t="s">
        <v>61</v>
      </c>
      <c r="H6" s="129"/>
      <c r="I6" s="4"/>
      <c r="J6" s="32"/>
      <c r="K6" s="32" t="s">
        <v>114</v>
      </c>
      <c r="L6" s="121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60" ht="24.75" customHeight="1" x14ac:dyDescent="0.25">
      <c r="A7" s="130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77</v>
      </c>
      <c r="K7" s="133" t="s">
        <v>78</v>
      </c>
      <c r="L7" s="135" t="s">
        <v>43</v>
      </c>
      <c r="AA7" s="36" t="s">
        <v>31</v>
      </c>
      <c r="AB7" s="200" t="e">
        <f>IF(COUNTIF($F$6,"1"),CONCATENATE($A$6,"(",$H$6,")"),CONCATENATE($A$6,$F$6,$G$6,"入","(",$H$6,")"))</f>
        <v>#VALUE!</v>
      </c>
      <c r="AC7" s="200"/>
      <c r="AD7" s="200"/>
      <c r="AE7" s="200"/>
      <c r="AF7" s="200"/>
      <c r="AG7" s="200"/>
      <c r="AH7" s="200"/>
      <c r="AI7" s="200"/>
      <c r="AJ7" s="34"/>
      <c r="AM7" s="140"/>
      <c r="AN7" s="74"/>
      <c r="AO7" s="74"/>
      <c r="AP7" s="74"/>
      <c r="AQ7" s="74"/>
    </row>
    <row r="8" spans="1:60" x14ac:dyDescent="0.2">
      <c r="A8" s="112" t="s">
        <v>115</v>
      </c>
      <c r="B8" s="113">
        <v>50</v>
      </c>
      <c r="C8" s="114">
        <v>14.5</v>
      </c>
      <c r="D8" s="114">
        <v>11.3</v>
      </c>
      <c r="E8" s="114">
        <v>1.5</v>
      </c>
      <c r="F8" s="114">
        <v>69.599999999999994</v>
      </c>
      <c r="G8" s="114">
        <v>2.7</v>
      </c>
      <c r="H8" s="114">
        <v>0.4</v>
      </c>
      <c r="I8" s="114">
        <v>0</v>
      </c>
      <c r="J8" s="114"/>
      <c r="K8" s="114">
        <v>0.35</v>
      </c>
      <c r="L8" s="114">
        <v>0</v>
      </c>
      <c r="M8" s="3">
        <f t="shared" ref="M8:M37" si="0">SUM(C8:H8)</f>
        <v>100</v>
      </c>
      <c r="AJ8" s="34"/>
      <c r="BH8" s="3" t="s">
        <v>109</v>
      </c>
    </row>
    <row r="9" spans="1:60" x14ac:dyDescent="0.2">
      <c r="A9" s="119" t="s">
        <v>116</v>
      </c>
      <c r="B9" s="170">
        <v>45</v>
      </c>
      <c r="C9" s="171">
        <v>14.4</v>
      </c>
      <c r="D9" s="171">
        <v>11.6</v>
      </c>
      <c r="E9" s="171">
        <v>1.5</v>
      </c>
      <c r="F9" s="171">
        <v>69.34</v>
      </c>
      <c r="G9" s="171">
        <v>2.7</v>
      </c>
      <c r="H9" s="171">
        <v>0.46</v>
      </c>
      <c r="I9" s="171"/>
      <c r="J9" s="171"/>
      <c r="K9" s="171">
        <v>0.35</v>
      </c>
      <c r="L9" s="171">
        <v>0</v>
      </c>
      <c r="M9" s="3">
        <f t="shared" si="0"/>
        <v>100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BH9" s="3" t="s">
        <v>108</v>
      </c>
    </row>
    <row r="10" spans="1:60" x14ac:dyDescent="0.2">
      <c r="A10" s="119" t="s">
        <v>117</v>
      </c>
      <c r="B10" s="170">
        <v>3</v>
      </c>
      <c r="C10" s="171">
        <v>68.099999999999994</v>
      </c>
      <c r="D10" s="171">
        <v>16.5</v>
      </c>
      <c r="E10" s="171">
        <v>1.5</v>
      </c>
      <c r="F10" s="171">
        <v>1.8</v>
      </c>
      <c r="G10" s="171">
        <v>10.3</v>
      </c>
      <c r="H10" s="171">
        <v>1.8</v>
      </c>
      <c r="I10" s="171">
        <v>39</v>
      </c>
      <c r="J10" s="171">
        <v>0</v>
      </c>
      <c r="K10" s="171">
        <v>0.19</v>
      </c>
      <c r="L10" s="171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63</v>
      </c>
      <c r="AN10" s="141"/>
      <c r="AO10" s="141"/>
      <c r="AP10" s="141"/>
      <c r="AQ10" s="141"/>
      <c r="BH10" s="3" t="s">
        <v>107</v>
      </c>
    </row>
    <row r="11" spans="1:60" x14ac:dyDescent="0.2">
      <c r="A11" s="119" t="s">
        <v>118</v>
      </c>
      <c r="B11" s="170">
        <v>0.1</v>
      </c>
      <c r="C11" s="171">
        <v>1.8</v>
      </c>
      <c r="D11" s="171">
        <v>6.9</v>
      </c>
      <c r="E11" s="171">
        <v>1</v>
      </c>
      <c r="F11" s="171">
        <v>37.369999999999997</v>
      </c>
      <c r="G11" s="171">
        <v>1.63</v>
      </c>
      <c r="H11" s="171">
        <v>51.3</v>
      </c>
      <c r="I11" s="171">
        <v>2340</v>
      </c>
      <c r="J11" s="171">
        <v>0</v>
      </c>
      <c r="K11" s="171">
        <v>0.4</v>
      </c>
      <c r="L11" s="171">
        <v>0.02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64</v>
      </c>
      <c r="AQ11" s="142" t="b">
        <v>0</v>
      </c>
      <c r="BH11" s="3" t="s">
        <v>106</v>
      </c>
    </row>
    <row r="12" spans="1:60" ht="27.75" customHeight="1" x14ac:dyDescent="0.25">
      <c r="A12" s="119" t="s">
        <v>119</v>
      </c>
      <c r="B12" s="170">
        <v>1.2</v>
      </c>
      <c r="C12" s="171">
        <v>28.6</v>
      </c>
      <c r="D12" s="171">
        <v>0.2</v>
      </c>
      <c r="E12" s="171">
        <v>30.3</v>
      </c>
      <c r="F12" s="171">
        <v>40.799999999999997</v>
      </c>
      <c r="G12" s="171">
        <v>0</v>
      </c>
      <c r="H12" s="171">
        <v>0.1</v>
      </c>
      <c r="I12" s="171">
        <v>14</v>
      </c>
      <c r="J12" s="171">
        <v>0</v>
      </c>
      <c r="K12" s="171">
        <v>14.7</v>
      </c>
      <c r="L12" s="171">
        <v>0</v>
      </c>
      <c r="M12" s="3">
        <f t="shared" si="0"/>
        <v>100</v>
      </c>
      <c r="AA12" s="36" t="s">
        <v>34</v>
      </c>
      <c r="AB12" s="34"/>
      <c r="AC12" s="34"/>
      <c r="AD12" s="37"/>
      <c r="AE12" s="201" t="s">
        <v>120</v>
      </c>
      <c r="AF12" s="90"/>
      <c r="AG12" s="203" t="str">
        <f>"1"&amp;$G$6&amp;"当たり"</f>
        <v>1個当たり</v>
      </c>
      <c r="AH12" s="203"/>
      <c r="AI12" s="203"/>
      <c r="AJ12" s="33"/>
      <c r="AK12" s="184" t="s">
        <v>39</v>
      </c>
      <c r="AM12" s="37" t="s">
        <v>65</v>
      </c>
      <c r="AQ12" s="142" t="b">
        <v>0</v>
      </c>
      <c r="BH12" s="3" t="s">
        <v>105</v>
      </c>
    </row>
    <row r="13" spans="1:60" ht="25.5" thickBot="1" x14ac:dyDescent="0.3">
      <c r="A13" s="119" t="s">
        <v>81</v>
      </c>
      <c r="B13" s="170">
        <v>3</v>
      </c>
      <c r="C13" s="171">
        <v>8.6999999999999993</v>
      </c>
      <c r="D13" s="171">
        <v>0</v>
      </c>
      <c r="E13" s="171">
        <v>0</v>
      </c>
      <c r="F13" s="171">
        <v>91.3</v>
      </c>
      <c r="G13" s="171">
        <v>0</v>
      </c>
      <c r="H13" s="171">
        <v>0</v>
      </c>
      <c r="I13" s="171">
        <v>0</v>
      </c>
      <c r="J13" s="171"/>
      <c r="K13" s="171">
        <v>0</v>
      </c>
      <c r="L13" s="171">
        <v>0</v>
      </c>
      <c r="M13" s="3">
        <f t="shared" si="0"/>
        <v>100</v>
      </c>
      <c r="AA13" s="34"/>
      <c r="AB13" s="34"/>
      <c r="AC13" s="34"/>
      <c r="AD13" s="38"/>
      <c r="AE13" s="202"/>
      <c r="AF13" s="37"/>
      <c r="AG13" s="39">
        <f>ROUND(+$B$102,0)</f>
        <v>64</v>
      </c>
      <c r="AH13" s="40" t="s">
        <v>121</v>
      </c>
      <c r="AI13" s="39"/>
      <c r="AJ13" s="41"/>
      <c r="AK13" s="184"/>
      <c r="AN13" s="143"/>
      <c r="AO13" s="74"/>
      <c r="AP13" s="3"/>
      <c r="AQ13" s="74"/>
      <c r="BH13" s="3" t="s">
        <v>104</v>
      </c>
    </row>
    <row r="14" spans="1:60" s="22" customFormat="1" ht="22.5" x14ac:dyDescent="0.25">
      <c r="A14" s="119" t="s">
        <v>103</v>
      </c>
      <c r="B14" s="170">
        <v>0.4</v>
      </c>
      <c r="C14" s="171">
        <v>70.900000000000006</v>
      </c>
      <c r="D14" s="171">
        <v>9.1999999999999993</v>
      </c>
      <c r="E14" s="171">
        <v>3.5</v>
      </c>
      <c r="F14" s="171">
        <v>14.3</v>
      </c>
      <c r="G14" s="171">
        <v>0</v>
      </c>
      <c r="H14" s="171">
        <v>2.1</v>
      </c>
      <c r="I14" s="171">
        <v>123</v>
      </c>
      <c r="J14" s="171">
        <v>0.16</v>
      </c>
      <c r="K14" s="171">
        <v>2.2999999999999998</v>
      </c>
      <c r="L14" s="171">
        <v>31</v>
      </c>
      <c r="M14" s="3">
        <f t="shared" si="0"/>
        <v>100</v>
      </c>
      <c r="N14" s="3"/>
      <c r="Z14" s="136"/>
      <c r="AA14" s="70" t="s">
        <v>122</v>
      </c>
      <c r="AB14" s="42"/>
      <c r="AC14" s="43"/>
      <c r="AD14" s="43"/>
      <c r="AE14" s="44">
        <f>$C$108</f>
        <v>204</v>
      </c>
      <c r="AF14" s="45"/>
      <c r="AG14" s="44">
        <f>ROUND((AG15+AG17)*4+(AG16*9),0)</f>
        <v>130</v>
      </c>
      <c r="AH14" s="43" t="s">
        <v>44</v>
      </c>
      <c r="AI14" s="47"/>
      <c r="AJ14" s="42"/>
      <c r="AK14" s="98">
        <v>0</v>
      </c>
      <c r="AM14" s="144" t="s">
        <v>66</v>
      </c>
      <c r="AN14" s="185"/>
      <c r="AO14" s="185"/>
      <c r="AP14" s="185"/>
      <c r="AQ14" s="186"/>
      <c r="BH14" s="22" t="s">
        <v>102</v>
      </c>
    </row>
    <row r="15" spans="1:60" ht="22.5" x14ac:dyDescent="0.25">
      <c r="A15" s="119" t="s">
        <v>101</v>
      </c>
      <c r="B15" s="170">
        <v>0.5</v>
      </c>
      <c r="C15" s="171">
        <v>12.4</v>
      </c>
      <c r="D15" s="171">
        <v>23.5</v>
      </c>
      <c r="E15" s="171">
        <v>1.9</v>
      </c>
      <c r="F15" s="171">
        <v>56.7</v>
      </c>
      <c r="G15" s="171">
        <v>3.8</v>
      </c>
      <c r="H15" s="171">
        <v>1.7</v>
      </c>
      <c r="I15" s="171">
        <v>182.2</v>
      </c>
      <c r="J15" s="171">
        <v>0</v>
      </c>
      <c r="K15" s="171">
        <v>0.7</v>
      </c>
      <c r="L15" s="171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52</v>
      </c>
      <c r="AI15" s="47"/>
      <c r="AJ15" s="46"/>
      <c r="AK15" s="98">
        <v>1</v>
      </c>
      <c r="AM15" s="187" t="s">
        <v>67</v>
      </c>
      <c r="AN15" s="188"/>
      <c r="AO15" s="188"/>
      <c r="AP15" s="188"/>
      <c r="AQ15" s="189"/>
      <c r="BH15" s="3" t="s">
        <v>100</v>
      </c>
    </row>
    <row r="16" spans="1:60" ht="22.5" x14ac:dyDescent="0.25">
      <c r="A16" s="119" t="s">
        <v>56</v>
      </c>
      <c r="B16" s="170">
        <v>4</v>
      </c>
      <c r="C16" s="171">
        <v>0.7</v>
      </c>
      <c r="D16" s="171">
        <v>0</v>
      </c>
      <c r="E16" s="171">
        <v>0</v>
      </c>
      <c r="F16" s="171">
        <v>99.3</v>
      </c>
      <c r="G16" s="171">
        <v>0</v>
      </c>
      <c r="H16" s="171">
        <v>0</v>
      </c>
      <c r="I16" s="171">
        <v>1</v>
      </c>
      <c r="J16" s="171"/>
      <c r="K16" s="171">
        <v>0</v>
      </c>
      <c r="L16" s="171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52</v>
      </c>
      <c r="AI16" s="47"/>
      <c r="AJ16" s="46"/>
      <c r="AK16" s="98">
        <v>1</v>
      </c>
      <c r="AM16" s="145"/>
      <c r="AN16" s="146"/>
      <c r="AO16" s="157" t="s">
        <v>99</v>
      </c>
      <c r="AP16" s="161" t="str">
        <f>"1"&amp;$G$6&amp;"当たり"</f>
        <v>1個当たり</v>
      </c>
      <c r="AQ16" s="162"/>
    </row>
    <row r="17" spans="1:60" ht="22.5" x14ac:dyDescent="0.25">
      <c r="A17" s="119" t="s">
        <v>57</v>
      </c>
      <c r="B17" s="170">
        <v>2.1</v>
      </c>
      <c r="C17" s="171">
        <v>0</v>
      </c>
      <c r="D17" s="171">
        <v>0</v>
      </c>
      <c r="E17" s="171">
        <v>0</v>
      </c>
      <c r="F17" s="171">
        <v>0</v>
      </c>
      <c r="G17" s="171">
        <v>0</v>
      </c>
      <c r="H17" s="171">
        <v>100</v>
      </c>
      <c r="I17" s="171">
        <v>39000</v>
      </c>
      <c r="J17" s="171"/>
      <c r="K17" s="171">
        <v>0</v>
      </c>
      <c r="L17" s="171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51</v>
      </c>
      <c r="AF17" s="45"/>
      <c r="AG17" s="47">
        <f>ROUND(($AG$13*AE17)/100,1)</f>
        <v>32.6</v>
      </c>
      <c r="AH17" s="43" t="s">
        <v>52</v>
      </c>
      <c r="AI17" s="47"/>
      <c r="AJ17" s="46"/>
      <c r="AK17" s="98">
        <v>1</v>
      </c>
      <c r="AM17" s="147" t="s">
        <v>26</v>
      </c>
      <c r="AN17" s="148"/>
      <c r="AO17" s="158">
        <f>$F$106</f>
        <v>51</v>
      </c>
      <c r="AP17" s="163">
        <f>$AG$17</f>
        <v>32.6</v>
      </c>
      <c r="AQ17" s="164" t="s">
        <v>52</v>
      </c>
    </row>
    <row r="18" spans="1:60" ht="22.5" x14ac:dyDescent="0.25">
      <c r="A18" s="119" t="s">
        <v>98</v>
      </c>
      <c r="B18" s="170">
        <v>5</v>
      </c>
      <c r="C18" s="171">
        <v>10.7</v>
      </c>
      <c r="D18" s="171">
        <v>12.7</v>
      </c>
      <c r="E18" s="171">
        <v>9.3000000000000007</v>
      </c>
      <c r="F18" s="171">
        <v>59.9</v>
      </c>
      <c r="G18" s="171">
        <v>1.9</v>
      </c>
      <c r="H18" s="171">
        <v>5.5</v>
      </c>
      <c r="I18" s="171">
        <v>590</v>
      </c>
      <c r="J18" s="171">
        <v>0.3</v>
      </c>
      <c r="K18" s="171">
        <v>3.6</v>
      </c>
      <c r="L18" s="171">
        <v>0.4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8">
        <f>IF($AE$20&lt;4.5,0,ROUND($AE$20/1000*2.54,2))</f>
        <v>0</v>
      </c>
      <c r="AF18" s="45"/>
      <c r="AG18" s="138">
        <f>IF($AE$20&lt;4.5,0,ROUND($AG$20/1000*2.54,2))</f>
        <v>0</v>
      </c>
      <c r="AH18" s="43" t="s">
        <v>52</v>
      </c>
      <c r="AI18" s="48"/>
      <c r="AJ18" s="46"/>
      <c r="AK18" s="98">
        <f>IF($AE$20&lt;4.5,0,2)</f>
        <v>0</v>
      </c>
      <c r="AM18" s="147" t="s">
        <v>68</v>
      </c>
      <c r="AN18" s="148"/>
      <c r="AO18" s="158">
        <f>$F$104</f>
        <v>51</v>
      </c>
      <c r="AP18" s="163">
        <f>$AP$17-$AP$19</f>
        <v>32.6</v>
      </c>
      <c r="AQ18" s="164" t="s">
        <v>52</v>
      </c>
      <c r="BH18" s="3" t="s">
        <v>97</v>
      </c>
    </row>
    <row r="19" spans="1:60" ht="23.25" thickBot="1" x14ac:dyDescent="0.3">
      <c r="A19" s="119" t="s">
        <v>96</v>
      </c>
      <c r="B19" s="170">
        <v>5</v>
      </c>
      <c r="C19" s="171">
        <v>75</v>
      </c>
      <c r="D19" s="171">
        <v>12.2</v>
      </c>
      <c r="E19" s="171">
        <v>10.199999999999999</v>
      </c>
      <c r="F19" s="171">
        <v>0.4</v>
      </c>
      <c r="G19" s="171">
        <v>0</v>
      </c>
      <c r="H19" s="171">
        <v>1</v>
      </c>
      <c r="I19" s="171">
        <v>140</v>
      </c>
      <c r="J19" s="171"/>
      <c r="K19" s="171">
        <v>3.12</v>
      </c>
      <c r="L19" s="171">
        <v>370</v>
      </c>
      <c r="M19" s="3">
        <f t="shared" si="1"/>
        <v>98.800000000000011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99"/>
      <c r="AM19" s="149" t="s">
        <v>69</v>
      </c>
      <c r="AN19" s="150"/>
      <c r="AO19" s="159">
        <f>$G$104</f>
        <v>0</v>
      </c>
      <c r="AP19" s="165">
        <f>ROUND(($AG$13*$G$104)/100,1)</f>
        <v>0</v>
      </c>
      <c r="AQ19" s="166" t="s">
        <v>52</v>
      </c>
    </row>
    <row r="20" spans="1:60" ht="22.5" x14ac:dyDescent="0.25">
      <c r="A20" s="119" t="s">
        <v>128</v>
      </c>
      <c r="B20" s="170">
        <v>2</v>
      </c>
      <c r="C20" s="171">
        <v>16.399999999999999</v>
      </c>
      <c r="D20" s="171">
        <v>0</v>
      </c>
      <c r="E20" s="171">
        <v>83.4</v>
      </c>
      <c r="F20" s="171">
        <v>0.1</v>
      </c>
      <c r="G20" s="171">
        <v>0</v>
      </c>
      <c r="H20" s="171">
        <v>0.1</v>
      </c>
      <c r="I20" s="171">
        <v>38</v>
      </c>
      <c r="J20" s="171">
        <v>0.49</v>
      </c>
      <c r="K20" s="171">
        <v>34.22</v>
      </c>
      <c r="L20" s="171">
        <v>1</v>
      </c>
      <c r="M20" s="3">
        <f t="shared" si="1"/>
        <v>100</v>
      </c>
      <c r="AA20" s="71" t="s">
        <v>95</v>
      </c>
      <c r="AB20" s="46"/>
      <c r="AC20" s="43"/>
      <c r="AD20" s="43"/>
      <c r="AE20" s="44">
        <f>$I$104</f>
        <v>0</v>
      </c>
      <c r="AF20" s="45"/>
      <c r="AG20" s="97">
        <f>ROUND(($AG$13*$AE$20)/100,0)</f>
        <v>0</v>
      </c>
      <c r="AH20" s="43" t="s">
        <v>53</v>
      </c>
      <c r="AI20" s="44"/>
      <c r="AJ20" s="46"/>
      <c r="AM20" s="151"/>
      <c r="AN20" s="153"/>
      <c r="AO20" s="154"/>
      <c r="AP20" s="153"/>
      <c r="AQ20" s="152"/>
      <c r="BH20" s="3" t="s">
        <v>129</v>
      </c>
    </row>
    <row r="21" spans="1:60" ht="22.5" x14ac:dyDescent="0.25">
      <c r="A21" s="119" t="s">
        <v>94</v>
      </c>
      <c r="B21" s="170">
        <v>8</v>
      </c>
      <c r="C21" s="171">
        <v>18.100000000000001</v>
      </c>
      <c r="D21" s="171">
        <v>0</v>
      </c>
      <c r="E21" s="171">
        <v>81.8</v>
      </c>
      <c r="F21" s="171">
        <v>0</v>
      </c>
      <c r="G21" s="171">
        <v>0</v>
      </c>
      <c r="H21" s="171">
        <v>0.1</v>
      </c>
      <c r="I21" s="171">
        <v>19</v>
      </c>
      <c r="J21" s="171">
        <v>0.78</v>
      </c>
      <c r="K21" s="171">
        <v>44.83</v>
      </c>
      <c r="L21" s="171">
        <v>1</v>
      </c>
      <c r="M21" s="3">
        <f t="shared" si="1"/>
        <v>100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52</v>
      </c>
      <c r="AI21" s="51"/>
      <c r="AJ21" s="48"/>
      <c r="AM21" s="155" t="s">
        <v>70</v>
      </c>
      <c r="AN21" s="156"/>
      <c r="AO21" s="156"/>
      <c r="AP21" s="156"/>
      <c r="AQ21" s="156"/>
      <c r="BH21" s="3" t="s">
        <v>93</v>
      </c>
    </row>
    <row r="22" spans="1:60" ht="21.75" customHeight="1" x14ac:dyDescent="0.2">
      <c r="A22" s="119" t="s">
        <v>92</v>
      </c>
      <c r="B22" s="170">
        <v>0.5</v>
      </c>
      <c r="C22" s="171">
        <v>9.6</v>
      </c>
      <c r="D22" s="171">
        <v>32.299999999999997</v>
      </c>
      <c r="E22" s="171">
        <v>0.6</v>
      </c>
      <c r="F22" s="171">
        <v>55</v>
      </c>
      <c r="G22" s="171">
        <v>1.8</v>
      </c>
      <c r="H22" s="171">
        <v>0.7</v>
      </c>
      <c r="I22" s="171">
        <v>130</v>
      </c>
      <c r="J22" s="171">
        <v>0</v>
      </c>
      <c r="K22" s="171">
        <v>0.5</v>
      </c>
      <c r="L22" s="171">
        <v>0</v>
      </c>
      <c r="M22" s="3">
        <f t="shared" si="1"/>
        <v>100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52</v>
      </c>
      <c r="AI22" s="51"/>
      <c r="AJ22" s="49"/>
      <c r="AM22" s="155" t="s">
        <v>71</v>
      </c>
      <c r="AN22" s="155"/>
      <c r="AO22" s="155"/>
      <c r="AP22" s="155"/>
      <c r="AQ22" s="155"/>
      <c r="BH22" s="3" t="s">
        <v>91</v>
      </c>
    </row>
    <row r="23" spans="1:60" ht="22.5" x14ac:dyDescent="0.25">
      <c r="A23" s="119" t="s">
        <v>90</v>
      </c>
      <c r="B23" s="170">
        <v>0.2</v>
      </c>
      <c r="C23" s="171">
        <v>0.2</v>
      </c>
      <c r="D23" s="171">
        <v>0.2</v>
      </c>
      <c r="E23" s="171">
        <v>0.7</v>
      </c>
      <c r="F23" s="171">
        <v>81.900000000000006</v>
      </c>
      <c r="G23" s="171">
        <v>0</v>
      </c>
      <c r="H23" s="171">
        <v>17</v>
      </c>
      <c r="I23" s="171">
        <v>16905</v>
      </c>
      <c r="J23" s="171">
        <v>0.6</v>
      </c>
      <c r="K23" s="171">
        <v>0.1</v>
      </c>
      <c r="L23" s="171">
        <v>0.1</v>
      </c>
      <c r="M23" s="3">
        <f t="shared" si="1"/>
        <v>100</v>
      </c>
      <c r="Z23" s="136" t="str">
        <f>IF(AG23&lt;15,"","＊1")</f>
        <v/>
      </c>
      <c r="AA23" s="71" t="s">
        <v>33</v>
      </c>
      <c r="AB23" s="43"/>
      <c r="AC23" s="43"/>
      <c r="AD23" s="43"/>
      <c r="AE23" s="138">
        <f>$K$104</f>
        <v>0</v>
      </c>
      <c r="AF23" s="72"/>
      <c r="AG23" s="138">
        <f>ROUND(($AG$13*$AE$23)/100,2)</f>
        <v>0</v>
      </c>
      <c r="AH23" s="43" t="s">
        <v>52</v>
      </c>
      <c r="AI23" s="48"/>
      <c r="AJ23" s="46"/>
      <c r="AK23" s="98">
        <v>2</v>
      </c>
      <c r="AM23" s="156" t="s">
        <v>72</v>
      </c>
      <c r="AN23" s="155"/>
      <c r="AO23" s="155"/>
      <c r="AP23" s="155"/>
      <c r="AQ23" s="155"/>
      <c r="BH23" s="3" t="s">
        <v>89</v>
      </c>
    </row>
    <row r="24" spans="1:60" ht="22.5" x14ac:dyDescent="0.25">
      <c r="A24" s="119" t="s">
        <v>131</v>
      </c>
      <c r="B24" s="170">
        <v>1</v>
      </c>
      <c r="C24" s="171">
        <v>19.899999999999999</v>
      </c>
      <c r="D24" s="171">
        <v>5.3</v>
      </c>
      <c r="E24" s="171">
        <v>0</v>
      </c>
      <c r="F24" s="171">
        <v>72.5</v>
      </c>
      <c r="G24" s="171">
        <v>0.8</v>
      </c>
      <c r="H24" s="171">
        <v>1.5</v>
      </c>
      <c r="I24" s="171">
        <v>78.099999999999994</v>
      </c>
      <c r="J24" s="171">
        <v>0</v>
      </c>
      <c r="K24" s="171">
        <v>0.03</v>
      </c>
      <c r="L24" s="171">
        <v>0</v>
      </c>
      <c r="M24" s="3">
        <f t="shared" si="1"/>
        <v>100</v>
      </c>
      <c r="Z24" s="136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8">
        <f>$J$104</f>
        <v>0</v>
      </c>
      <c r="AF24" s="69"/>
      <c r="AG24" s="138">
        <f>ROUND(($AG$13*$AE$24)/100,2)</f>
        <v>0</v>
      </c>
      <c r="AH24" s="43" t="s">
        <v>52</v>
      </c>
      <c r="AI24" s="48"/>
      <c r="AJ24" s="46"/>
      <c r="AK24" s="98">
        <f>IF($AE$24=0,0,2)</f>
        <v>0</v>
      </c>
      <c r="AM24" s="156" t="s">
        <v>74</v>
      </c>
      <c r="AN24" s="155"/>
      <c r="AO24" s="155"/>
      <c r="AP24" s="155"/>
      <c r="AQ24" s="155"/>
      <c r="BH24" s="3" t="s">
        <v>132</v>
      </c>
    </row>
    <row r="25" spans="1:60" ht="22.7" customHeight="1" x14ac:dyDescent="0.25">
      <c r="A25" s="119" t="s">
        <v>88</v>
      </c>
      <c r="B25" s="170">
        <v>0.5</v>
      </c>
      <c r="C25" s="171">
        <v>5.8</v>
      </c>
      <c r="D25" s="171">
        <v>20.8</v>
      </c>
      <c r="E25" s="171">
        <v>29.5</v>
      </c>
      <c r="F25" s="171">
        <v>43.5</v>
      </c>
      <c r="G25" s="171">
        <v>0</v>
      </c>
      <c r="H25" s="171">
        <v>0.4</v>
      </c>
      <c r="I25" s="171">
        <v>89</v>
      </c>
      <c r="J25" s="171">
        <v>0</v>
      </c>
      <c r="K25" s="171">
        <v>25.5</v>
      </c>
      <c r="L25" s="171">
        <v>1</v>
      </c>
      <c r="M25" s="3">
        <f t="shared" si="1"/>
        <v>100</v>
      </c>
      <c r="AA25" s="71" t="s">
        <v>87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53</v>
      </c>
      <c r="AI25" s="48"/>
      <c r="AJ25" s="46"/>
      <c r="AK25" s="98">
        <v>0</v>
      </c>
      <c r="AM25" s="156" t="s">
        <v>123</v>
      </c>
      <c r="AN25" s="155"/>
      <c r="AO25" s="155"/>
      <c r="AP25" s="155"/>
      <c r="AQ25" s="155"/>
      <c r="BH25" s="3" t="s">
        <v>86</v>
      </c>
    </row>
    <row r="26" spans="1:60" ht="22.7" customHeight="1" x14ac:dyDescent="0.2">
      <c r="A26" s="119" t="s">
        <v>79</v>
      </c>
      <c r="B26" s="170">
        <v>53</v>
      </c>
      <c r="C26" s="171">
        <v>100</v>
      </c>
      <c r="D26" s="171"/>
      <c r="E26" s="171"/>
      <c r="F26" s="171"/>
      <c r="G26" s="171"/>
      <c r="H26" s="171"/>
      <c r="I26" s="171"/>
      <c r="J26" s="171"/>
      <c r="K26" s="171"/>
      <c r="L26" s="171"/>
      <c r="M26" s="3">
        <f t="shared" si="1"/>
        <v>100</v>
      </c>
      <c r="AM26" s="155" t="s">
        <v>75</v>
      </c>
      <c r="AN26" s="155"/>
      <c r="AO26" s="155"/>
      <c r="AP26" s="155"/>
      <c r="AQ26" s="155"/>
    </row>
    <row r="27" spans="1:60" ht="22.7" customHeight="1" x14ac:dyDescent="0.2">
      <c r="A27" s="119"/>
      <c r="B27" s="170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3">
        <f t="shared" si="1"/>
        <v>0</v>
      </c>
      <c r="AM27" s="155" t="s">
        <v>124</v>
      </c>
      <c r="AN27" s="155"/>
      <c r="AO27" s="155"/>
      <c r="AP27" s="155"/>
      <c r="AQ27" s="155"/>
    </row>
    <row r="28" spans="1:60" x14ac:dyDescent="0.2">
      <c r="A28" s="119"/>
      <c r="B28" s="170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3">
        <f t="shared" si="0"/>
        <v>0</v>
      </c>
      <c r="AM28" s="155"/>
      <c r="AN28" s="155"/>
      <c r="AO28" s="155"/>
      <c r="AP28" s="155"/>
      <c r="AQ28" s="155"/>
    </row>
    <row r="29" spans="1:60" x14ac:dyDescent="0.2">
      <c r="A29" s="119"/>
      <c r="B29" s="170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3">
        <f t="shared" si="0"/>
        <v>0</v>
      </c>
    </row>
    <row r="30" spans="1:60" x14ac:dyDescent="0.2">
      <c r="A30" s="119"/>
      <c r="B30" s="170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119"/>
      <c r="B31" s="170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3">
        <f>SUM(C31:H31)</f>
        <v>0</v>
      </c>
      <c r="AA31" s="190" t="s">
        <v>47</v>
      </c>
      <c r="AB31" s="190"/>
      <c r="AC31" s="190"/>
      <c r="AD31" s="190"/>
      <c r="AE31" s="190"/>
      <c r="AF31" s="190"/>
      <c r="AG31" s="190"/>
      <c r="AH31" s="190"/>
      <c r="AI31" s="190"/>
      <c r="AJ31" s="190"/>
    </row>
    <row r="32" spans="1:60" x14ac:dyDescent="0.2">
      <c r="A32" s="119"/>
      <c r="B32" s="170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119"/>
      <c r="B33" s="170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3">
        <f>SUM(C35:H35)</f>
        <v>0</v>
      </c>
      <c r="O35" s="73"/>
      <c r="P35" s="75"/>
      <c r="Q35" s="74"/>
      <c r="AA35" s="34"/>
      <c r="AB35" s="96"/>
      <c r="AC35" s="191" t="s">
        <v>38</v>
      </c>
      <c r="AD35" s="191"/>
      <c r="AE35" s="81">
        <f>IF($B$101=0,$B$84,$B$101)</f>
        <v>17</v>
      </c>
      <c r="AF35" s="35" t="s">
        <v>25</v>
      </c>
      <c r="AG35" s="34"/>
      <c r="AH35" s="34"/>
      <c r="AI35" s="34"/>
      <c r="AJ35" s="34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3">
        <f t="shared" si="0"/>
        <v>0</v>
      </c>
      <c r="N37" s="73"/>
      <c r="O37" s="73"/>
      <c r="P37" s="75"/>
      <c r="Q37" s="74"/>
      <c r="AA37" s="17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30" t="s">
        <v>11</v>
      </c>
      <c r="B39" s="130" t="s">
        <v>12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13</v>
      </c>
      <c r="J39" s="132" t="s">
        <v>77</v>
      </c>
      <c r="K39" s="133" t="s">
        <v>78</v>
      </c>
      <c r="L39" s="134" t="s">
        <v>43</v>
      </c>
      <c r="N39" s="73"/>
      <c r="O39" s="73"/>
      <c r="P39" s="75"/>
      <c r="Q39" s="74"/>
      <c r="AA39" s="122"/>
      <c r="AI39" s="78"/>
      <c r="AJ39" s="78"/>
    </row>
    <row r="40" spans="1:36" x14ac:dyDescent="0.2">
      <c r="A40" s="6" t="s">
        <v>14</v>
      </c>
      <c r="B40" s="123">
        <v>77</v>
      </c>
      <c r="C40" s="8"/>
      <c r="D40" s="8"/>
      <c r="E40" s="8"/>
      <c r="F40" s="8"/>
      <c r="G40" s="8"/>
      <c r="H40" s="8"/>
      <c r="I40" s="7"/>
      <c r="J40" s="55"/>
      <c r="K40" s="83"/>
      <c r="L40" s="124"/>
      <c r="M40" s="3">
        <f t="shared" ref="M40:M49" si="2">SUM(C40:H40)</f>
        <v>0</v>
      </c>
      <c r="N40" s="73"/>
      <c r="O40" s="73"/>
      <c r="P40" s="75"/>
      <c r="Q40" s="74"/>
      <c r="AA40" s="122"/>
      <c r="AI40" s="78"/>
      <c r="AJ40" s="78"/>
    </row>
    <row r="41" spans="1:36" x14ac:dyDescent="0.2">
      <c r="A41" s="119"/>
      <c r="B41" s="170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119"/>
      <c r="B42" s="170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30" t="s">
        <v>2</v>
      </c>
      <c r="B52" s="130" t="s">
        <v>16</v>
      </c>
      <c r="C52" s="130" t="s">
        <v>4</v>
      </c>
      <c r="D52" s="130" t="s">
        <v>5</v>
      </c>
      <c r="E52" s="130" t="s">
        <v>6</v>
      </c>
      <c r="F52" s="130" t="s">
        <v>7</v>
      </c>
      <c r="G52" s="130" t="s">
        <v>8</v>
      </c>
      <c r="H52" s="130" t="s">
        <v>9</v>
      </c>
      <c r="I52" s="131" t="s">
        <v>13</v>
      </c>
      <c r="J52" s="132" t="s">
        <v>32</v>
      </c>
      <c r="K52" s="133" t="s">
        <v>33</v>
      </c>
      <c r="L52" s="134" t="s">
        <v>85</v>
      </c>
      <c r="AA52" s="86"/>
    </row>
    <row r="53" spans="1:33" x14ac:dyDescent="0.2">
      <c r="A53" s="112" t="str">
        <f>IF(A8="","",A8)</f>
        <v>ｸｰﾄﾞｼｬﾝｽ 袋</v>
      </c>
      <c r="B53" s="167">
        <f>IF(B8="","",B8)</f>
        <v>50</v>
      </c>
      <c r="C53" s="10">
        <f>C8*B53/100</f>
        <v>7.25</v>
      </c>
      <c r="D53" s="10">
        <f>D8*B53/100</f>
        <v>5.65</v>
      </c>
      <c r="E53" s="10">
        <f>E8*B53/100</f>
        <v>0.75</v>
      </c>
      <c r="F53" s="10">
        <f>F8*B53/100</f>
        <v>34.799999999999997</v>
      </c>
      <c r="G53" s="10">
        <f>G8*B53/100</f>
        <v>1.35</v>
      </c>
      <c r="H53" s="10">
        <f>H8*B53/100</f>
        <v>0.2</v>
      </c>
      <c r="I53" s="11">
        <f>I8*B53/100</f>
        <v>0</v>
      </c>
      <c r="J53" s="11">
        <f>J8*B53/100</f>
        <v>0</v>
      </c>
      <c r="K53" s="11">
        <f>K8*B53/100</f>
        <v>0.17499999999999999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112" t="str">
        <f t="shared" ref="A54:B69" si="3">IF(A9="","",A9)</f>
        <v>FNS-3</v>
      </c>
      <c r="B54" s="167">
        <f t="shared" si="3"/>
        <v>45</v>
      </c>
      <c r="C54" s="10">
        <f t="shared" ref="C54:C81" si="4">C9*B54/100</f>
        <v>6.48</v>
      </c>
      <c r="D54" s="10">
        <f t="shared" ref="D54:D82" si="5">D9*B54/100</f>
        <v>5.22</v>
      </c>
      <c r="E54" s="10">
        <f t="shared" ref="E54:E82" si="6">E9*B54/100</f>
        <v>0.67500000000000004</v>
      </c>
      <c r="F54" s="10">
        <f t="shared" ref="F54:F82" si="7">F9*B54/100</f>
        <v>31.203000000000003</v>
      </c>
      <c r="G54" s="10">
        <f t="shared" ref="G54:G82" si="8">G9*B54/100</f>
        <v>1.2150000000000001</v>
      </c>
      <c r="H54" s="10">
        <f t="shared" ref="H54:H82" si="9">H9*B54/100</f>
        <v>0.20699999999999999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0.15749999999999997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112" t="str">
        <f t="shared" si="3"/>
        <v>NFｲｰｽﾄﾇｰﾄﾞ</v>
      </c>
      <c r="B55" s="167">
        <f t="shared" si="3"/>
        <v>3</v>
      </c>
      <c r="C55" s="10">
        <f t="shared" si="4"/>
        <v>2.0429999999999997</v>
      </c>
      <c r="D55" s="10">
        <f t="shared" si="5"/>
        <v>0.495</v>
      </c>
      <c r="E55" s="10">
        <f t="shared" si="6"/>
        <v>4.4999999999999998E-2</v>
      </c>
      <c r="F55" s="10">
        <f t="shared" si="7"/>
        <v>5.4000000000000006E-2</v>
      </c>
      <c r="G55" s="10">
        <f t="shared" si="8"/>
        <v>0.309</v>
      </c>
      <c r="H55" s="10">
        <f t="shared" si="9"/>
        <v>5.4000000000000006E-2</v>
      </c>
      <c r="I55" s="11">
        <f t="shared" si="10"/>
        <v>1.17</v>
      </c>
      <c r="J55" s="11">
        <f t="shared" si="11"/>
        <v>0</v>
      </c>
      <c r="K55" s="11">
        <f t="shared" si="12"/>
        <v>5.7000000000000002E-3</v>
      </c>
      <c r="L55" s="66">
        <f t="shared" si="13"/>
        <v>0</v>
      </c>
      <c r="N55" s="3" t="str">
        <f t="shared" si="14"/>
        <v/>
      </c>
    </row>
    <row r="56" spans="1:33" x14ac:dyDescent="0.2">
      <c r="A56" s="112" t="str">
        <f t="shared" si="3"/>
        <v>Cｵﾘｴﾝﾀﾙﾌｰﾄﾞ</v>
      </c>
      <c r="B56" s="167">
        <f t="shared" si="3"/>
        <v>0.1</v>
      </c>
      <c r="C56" s="10">
        <f t="shared" si="4"/>
        <v>1.8000000000000002E-3</v>
      </c>
      <c r="D56" s="10">
        <f t="shared" si="5"/>
        <v>6.9000000000000008E-3</v>
      </c>
      <c r="E56" s="10">
        <f t="shared" si="6"/>
        <v>1E-3</v>
      </c>
      <c r="F56" s="10">
        <f t="shared" si="7"/>
        <v>3.737E-2</v>
      </c>
      <c r="G56" s="10">
        <f t="shared" si="8"/>
        <v>1.6300000000000002E-3</v>
      </c>
      <c r="H56" s="10">
        <f t="shared" si="9"/>
        <v>5.1299999999999998E-2</v>
      </c>
      <c r="I56" s="11">
        <f t="shared" si="10"/>
        <v>2.34</v>
      </c>
      <c r="J56" s="11">
        <f t="shared" si="11"/>
        <v>0</v>
      </c>
      <c r="K56" s="11">
        <f t="shared" si="12"/>
        <v>4.0000000000000007E-4</v>
      </c>
      <c r="L56" s="66">
        <f t="shared" si="13"/>
        <v>2.0000000000000002E-5</v>
      </c>
      <c r="N56" s="3" t="str">
        <f t="shared" si="14"/>
        <v/>
      </c>
    </row>
    <row r="57" spans="1:33" x14ac:dyDescent="0.2">
      <c r="A57" s="112" t="str">
        <f t="shared" si="3"/>
        <v>ｿﾌｨｶﾙDX</v>
      </c>
      <c r="B57" s="167">
        <f t="shared" si="3"/>
        <v>1.2</v>
      </c>
      <c r="C57" s="10">
        <f t="shared" si="4"/>
        <v>0.34320000000000001</v>
      </c>
      <c r="D57" s="10">
        <f t="shared" si="5"/>
        <v>2.3999999999999998E-3</v>
      </c>
      <c r="E57" s="10">
        <f t="shared" si="6"/>
        <v>0.36359999999999998</v>
      </c>
      <c r="F57" s="10">
        <f t="shared" si="7"/>
        <v>0.48959999999999992</v>
      </c>
      <c r="G57" s="10">
        <f t="shared" si="8"/>
        <v>0</v>
      </c>
      <c r="H57" s="10">
        <f t="shared" si="9"/>
        <v>1.1999999999999999E-3</v>
      </c>
      <c r="I57" s="11">
        <f t="shared" si="10"/>
        <v>0.16800000000000001</v>
      </c>
      <c r="J57" s="11">
        <f t="shared" si="11"/>
        <v>0</v>
      </c>
      <c r="K57" s="11">
        <f t="shared" si="12"/>
        <v>0.17639999999999997</v>
      </c>
      <c r="L57" s="66">
        <f t="shared" si="13"/>
        <v>0</v>
      </c>
      <c r="N57" s="3" t="str">
        <f t="shared" si="14"/>
        <v/>
      </c>
    </row>
    <row r="58" spans="1:33" x14ac:dyDescent="0.2">
      <c r="A58" s="112" t="str">
        <f t="shared" si="3"/>
        <v>ぶどう糖/含水結晶</v>
      </c>
      <c r="B58" s="167">
        <f t="shared" si="3"/>
        <v>3</v>
      </c>
      <c r="C58" s="10">
        <f t="shared" si="4"/>
        <v>0.26099999999999995</v>
      </c>
      <c r="D58" s="10">
        <f t="shared" si="5"/>
        <v>0</v>
      </c>
      <c r="E58" s="10">
        <f t="shared" si="6"/>
        <v>0</v>
      </c>
      <c r="F58" s="10">
        <f t="shared" si="7"/>
        <v>2.7389999999999999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112" t="str">
        <f t="shared" si="3"/>
        <v>ﾌｫｰｶｽC(1L)</v>
      </c>
      <c r="B59" s="167">
        <f t="shared" si="3"/>
        <v>0.4</v>
      </c>
      <c r="C59" s="10">
        <f t="shared" si="4"/>
        <v>0.28360000000000002</v>
      </c>
      <c r="D59" s="10">
        <f t="shared" si="5"/>
        <v>3.6799999999999999E-2</v>
      </c>
      <c r="E59" s="10">
        <f t="shared" si="6"/>
        <v>1.4000000000000002E-2</v>
      </c>
      <c r="F59" s="10">
        <f t="shared" si="7"/>
        <v>5.7200000000000008E-2</v>
      </c>
      <c r="G59" s="10">
        <f t="shared" si="8"/>
        <v>0</v>
      </c>
      <c r="H59" s="10">
        <f t="shared" si="9"/>
        <v>8.4000000000000012E-3</v>
      </c>
      <c r="I59" s="11">
        <f t="shared" si="10"/>
        <v>0.49200000000000005</v>
      </c>
      <c r="J59" s="11">
        <f t="shared" si="11"/>
        <v>6.4000000000000005E-4</v>
      </c>
      <c r="K59" s="11">
        <f t="shared" si="12"/>
        <v>9.1999999999999998E-3</v>
      </c>
      <c r="L59" s="66">
        <f t="shared" si="13"/>
        <v>0.124</v>
      </c>
      <c r="N59" s="3" t="str">
        <f t="shared" si="14"/>
        <v/>
      </c>
    </row>
    <row r="60" spans="1:33" x14ac:dyDescent="0.2">
      <c r="A60" s="112" t="str">
        <f t="shared" si="3"/>
        <v>GL100</v>
      </c>
      <c r="B60" s="167">
        <f t="shared" si="3"/>
        <v>0.5</v>
      </c>
      <c r="C60" s="10">
        <f t="shared" si="4"/>
        <v>6.2E-2</v>
      </c>
      <c r="D60" s="10">
        <f t="shared" si="5"/>
        <v>0.11749999999999999</v>
      </c>
      <c r="E60" s="10">
        <f t="shared" si="6"/>
        <v>9.4999999999999998E-3</v>
      </c>
      <c r="F60" s="10">
        <f t="shared" si="7"/>
        <v>0.28350000000000003</v>
      </c>
      <c r="G60" s="10">
        <f t="shared" si="8"/>
        <v>1.9E-2</v>
      </c>
      <c r="H60" s="10">
        <f t="shared" si="9"/>
        <v>8.5000000000000006E-3</v>
      </c>
      <c r="I60" s="11">
        <f t="shared" si="10"/>
        <v>0.91099999999999992</v>
      </c>
      <c r="J60" s="11">
        <f t="shared" si="11"/>
        <v>0</v>
      </c>
      <c r="K60" s="11">
        <f t="shared" si="12"/>
        <v>3.4999999999999996E-3</v>
      </c>
      <c r="L60" s="66">
        <f t="shared" si="13"/>
        <v>0</v>
      </c>
      <c r="N60" s="3" t="str">
        <f t="shared" si="14"/>
        <v/>
      </c>
      <c r="AA60" s="86" t="s">
        <v>125</v>
      </c>
    </row>
    <row r="61" spans="1:33" x14ac:dyDescent="0.2">
      <c r="A61" s="112" t="str">
        <f t="shared" si="3"/>
        <v>上白糖</v>
      </c>
      <c r="B61" s="167">
        <f t="shared" si="3"/>
        <v>4</v>
      </c>
      <c r="C61" s="10">
        <f t="shared" si="4"/>
        <v>2.7999999999999997E-2</v>
      </c>
      <c r="D61" s="10">
        <f t="shared" si="5"/>
        <v>0</v>
      </c>
      <c r="E61" s="10">
        <f t="shared" si="6"/>
        <v>0</v>
      </c>
      <c r="F61" s="10">
        <f t="shared" si="7"/>
        <v>3.972</v>
      </c>
      <c r="G61" s="10">
        <f t="shared" si="8"/>
        <v>0</v>
      </c>
      <c r="H61" s="10">
        <f t="shared" si="9"/>
        <v>0</v>
      </c>
      <c r="I61" s="11">
        <f t="shared" si="10"/>
        <v>0.04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N61" s="3" t="str">
        <f t="shared" si="14"/>
        <v/>
      </c>
      <c r="AA61" s="117" t="s">
        <v>47</v>
      </c>
    </row>
    <row r="62" spans="1:33" ht="18.75" x14ac:dyDescent="0.3">
      <c r="A62" s="112" t="str">
        <f t="shared" si="3"/>
        <v>精製塩</v>
      </c>
      <c r="B62" s="167">
        <f t="shared" si="3"/>
        <v>2.1</v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2.1</v>
      </c>
      <c r="I62" s="11">
        <f t="shared" si="10"/>
        <v>819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N62" s="3" t="str">
        <f t="shared" si="14"/>
        <v/>
      </c>
      <c r="AA62" s="87" t="s">
        <v>126</v>
      </c>
      <c r="AC62" s="88"/>
      <c r="AE62" s="88"/>
      <c r="AF62" s="89"/>
      <c r="AG62" s="88"/>
    </row>
    <row r="63" spans="1:33" x14ac:dyDescent="0.2">
      <c r="A63" s="112" t="str">
        <f t="shared" si="3"/>
        <v>ふんわり菓子ﾊﾟﾝﾍﾞｰｽﾐｯｸｽB-270</v>
      </c>
      <c r="B63" s="167">
        <f t="shared" si="3"/>
        <v>5</v>
      </c>
      <c r="C63" s="10">
        <f t="shared" si="4"/>
        <v>0.53500000000000003</v>
      </c>
      <c r="D63" s="10">
        <f t="shared" si="5"/>
        <v>0.63500000000000001</v>
      </c>
      <c r="E63" s="10">
        <f t="shared" si="6"/>
        <v>0.46500000000000002</v>
      </c>
      <c r="F63" s="10">
        <f t="shared" si="7"/>
        <v>2.9950000000000001</v>
      </c>
      <c r="G63" s="10">
        <f t="shared" si="8"/>
        <v>9.5000000000000001E-2</v>
      </c>
      <c r="H63" s="10">
        <f t="shared" si="9"/>
        <v>0.27500000000000002</v>
      </c>
      <c r="I63" s="11">
        <f t="shared" si="10"/>
        <v>29.5</v>
      </c>
      <c r="J63" s="11">
        <f t="shared" si="11"/>
        <v>1.4999999999999999E-2</v>
      </c>
      <c r="K63" s="11">
        <f t="shared" si="12"/>
        <v>0.18</v>
      </c>
      <c r="L63" s="66">
        <f t="shared" si="13"/>
        <v>0.02</v>
      </c>
      <c r="N63" s="3" t="str">
        <f t="shared" si="14"/>
        <v/>
      </c>
    </row>
    <row r="64" spans="1:33" x14ac:dyDescent="0.2">
      <c r="A64" s="112" t="str">
        <f t="shared" si="3"/>
        <v>全卵/生</v>
      </c>
      <c r="B64" s="167">
        <f t="shared" si="3"/>
        <v>5</v>
      </c>
      <c r="C64" s="10">
        <f t="shared" si="4"/>
        <v>3.75</v>
      </c>
      <c r="D64" s="10">
        <f t="shared" si="5"/>
        <v>0.61</v>
      </c>
      <c r="E64" s="10">
        <f t="shared" si="6"/>
        <v>0.51</v>
      </c>
      <c r="F64" s="10">
        <f t="shared" si="7"/>
        <v>0.02</v>
      </c>
      <c r="G64" s="10">
        <f t="shared" si="8"/>
        <v>0</v>
      </c>
      <c r="H64" s="10">
        <f t="shared" si="9"/>
        <v>0.05</v>
      </c>
      <c r="I64" s="11">
        <f t="shared" si="10"/>
        <v>7</v>
      </c>
      <c r="J64" s="11">
        <f t="shared" si="11"/>
        <v>0</v>
      </c>
      <c r="K64" s="11">
        <f t="shared" si="12"/>
        <v>0.15600000000000003</v>
      </c>
      <c r="L64" s="66">
        <f t="shared" si="13"/>
        <v>18.5</v>
      </c>
      <c r="N64" s="3" t="str">
        <f t="shared" si="14"/>
        <v/>
      </c>
    </row>
    <row r="65" spans="1:27" x14ac:dyDescent="0.2">
      <c r="A65" s="112" t="str">
        <f t="shared" si="3"/>
        <v>MKｿﾌﾄNF 12 LT</v>
      </c>
      <c r="B65" s="167">
        <f t="shared" si="3"/>
        <v>2</v>
      </c>
      <c r="C65" s="10">
        <f t="shared" si="4"/>
        <v>0.32799999999999996</v>
      </c>
      <c r="D65" s="10">
        <f t="shared" si="5"/>
        <v>0</v>
      </c>
      <c r="E65" s="10">
        <f t="shared" si="6"/>
        <v>1.6680000000000001</v>
      </c>
      <c r="F65" s="10">
        <f t="shared" si="7"/>
        <v>2E-3</v>
      </c>
      <c r="G65" s="10">
        <f t="shared" si="8"/>
        <v>0</v>
      </c>
      <c r="H65" s="10">
        <f t="shared" si="9"/>
        <v>2E-3</v>
      </c>
      <c r="I65" s="11">
        <f t="shared" si="10"/>
        <v>0.76</v>
      </c>
      <c r="J65" s="11">
        <f t="shared" si="11"/>
        <v>9.7999999999999997E-3</v>
      </c>
      <c r="K65" s="11">
        <f t="shared" si="12"/>
        <v>0.68440000000000001</v>
      </c>
      <c r="L65" s="66">
        <f t="shared" si="13"/>
        <v>0.02</v>
      </c>
      <c r="N65" s="3" t="str">
        <f t="shared" si="14"/>
        <v/>
      </c>
    </row>
    <row r="66" spans="1:27" x14ac:dyDescent="0.2">
      <c r="A66" s="112" t="str">
        <f t="shared" si="3"/>
        <v>F-ADM-SP(Sﾀｲﾌﾟ)</v>
      </c>
      <c r="B66" s="167">
        <f t="shared" si="3"/>
        <v>8</v>
      </c>
      <c r="C66" s="10">
        <f t="shared" si="4"/>
        <v>1.4480000000000002</v>
      </c>
      <c r="D66" s="10">
        <f t="shared" si="5"/>
        <v>0</v>
      </c>
      <c r="E66" s="10">
        <f t="shared" si="6"/>
        <v>6.5439999999999996</v>
      </c>
      <c r="F66" s="10">
        <f t="shared" si="7"/>
        <v>0</v>
      </c>
      <c r="G66" s="10">
        <f t="shared" si="8"/>
        <v>0</v>
      </c>
      <c r="H66" s="10">
        <f t="shared" si="9"/>
        <v>8.0000000000000002E-3</v>
      </c>
      <c r="I66" s="11">
        <f t="shared" si="10"/>
        <v>1.52</v>
      </c>
      <c r="J66" s="11">
        <f t="shared" si="11"/>
        <v>6.2400000000000004E-2</v>
      </c>
      <c r="K66" s="11">
        <f t="shared" si="12"/>
        <v>3.5863999999999998</v>
      </c>
      <c r="L66" s="66">
        <f t="shared" si="13"/>
        <v>0.08</v>
      </c>
      <c r="N66" s="3" t="str">
        <f t="shared" si="14"/>
        <v/>
      </c>
    </row>
    <row r="67" spans="1:27" x14ac:dyDescent="0.2">
      <c r="A67" s="112" t="str">
        <f t="shared" si="3"/>
        <v>ﾌﾞﾚｯﾄﾞﾗｲﾌAP-200</v>
      </c>
      <c r="B67" s="167">
        <f t="shared" si="3"/>
        <v>0.5</v>
      </c>
      <c r="C67" s="10">
        <f t="shared" si="4"/>
        <v>4.8000000000000001E-2</v>
      </c>
      <c r="D67" s="10">
        <f t="shared" si="5"/>
        <v>0.16149999999999998</v>
      </c>
      <c r="E67" s="10">
        <f t="shared" si="6"/>
        <v>3.0000000000000001E-3</v>
      </c>
      <c r="F67" s="10">
        <f t="shared" si="7"/>
        <v>0.27500000000000002</v>
      </c>
      <c r="G67" s="10">
        <f t="shared" si="8"/>
        <v>9.0000000000000011E-3</v>
      </c>
      <c r="H67" s="10">
        <f t="shared" si="9"/>
        <v>3.4999999999999996E-3</v>
      </c>
      <c r="I67" s="11">
        <f t="shared" si="10"/>
        <v>0.65</v>
      </c>
      <c r="J67" s="11">
        <f t="shared" si="11"/>
        <v>0</v>
      </c>
      <c r="K67" s="11">
        <f t="shared" si="12"/>
        <v>2.5000000000000001E-3</v>
      </c>
      <c r="L67" s="66">
        <f t="shared" si="13"/>
        <v>0</v>
      </c>
      <c r="N67" s="3" t="str">
        <f t="shared" si="14"/>
        <v/>
      </c>
    </row>
    <row r="68" spans="1:27" x14ac:dyDescent="0.2">
      <c r="A68" s="112" t="str">
        <f t="shared" si="3"/>
        <v>ﾊｲﾄﾗｲLG</v>
      </c>
      <c r="B68" s="167">
        <f t="shared" si="3"/>
        <v>0.2</v>
      </c>
      <c r="C68" s="10">
        <f t="shared" si="4"/>
        <v>4.0000000000000007E-4</v>
      </c>
      <c r="D68" s="10">
        <f t="shared" si="5"/>
        <v>4.0000000000000007E-4</v>
      </c>
      <c r="E68" s="10">
        <f t="shared" si="6"/>
        <v>1.3999999999999998E-3</v>
      </c>
      <c r="F68" s="10">
        <f t="shared" si="7"/>
        <v>0.16380000000000003</v>
      </c>
      <c r="G68" s="10">
        <f t="shared" si="8"/>
        <v>0</v>
      </c>
      <c r="H68" s="10">
        <f t="shared" si="9"/>
        <v>3.4000000000000002E-2</v>
      </c>
      <c r="I68" s="11">
        <f t="shared" si="10"/>
        <v>33.81</v>
      </c>
      <c r="J68" s="11">
        <f t="shared" si="11"/>
        <v>1.1999999999999999E-3</v>
      </c>
      <c r="K68" s="11">
        <f t="shared" si="12"/>
        <v>2.0000000000000004E-4</v>
      </c>
      <c r="L68" s="66">
        <f t="shared" si="13"/>
        <v>2.0000000000000004E-4</v>
      </c>
      <c r="N68" s="3" t="str">
        <f t="shared" si="14"/>
        <v/>
      </c>
    </row>
    <row r="69" spans="1:27" ht="18.75" x14ac:dyDescent="0.3">
      <c r="A69" s="112" t="str">
        <f t="shared" si="3"/>
        <v>ﾓﾙﾄｴｰｽ 20</v>
      </c>
      <c r="B69" s="167">
        <f t="shared" si="3"/>
        <v>1</v>
      </c>
      <c r="C69" s="10">
        <f t="shared" si="4"/>
        <v>0.19899999999999998</v>
      </c>
      <c r="D69" s="10">
        <f t="shared" si="5"/>
        <v>5.2999999999999999E-2</v>
      </c>
      <c r="E69" s="10">
        <f t="shared" si="6"/>
        <v>0</v>
      </c>
      <c r="F69" s="10">
        <f t="shared" si="7"/>
        <v>0.72499999999999998</v>
      </c>
      <c r="G69" s="10">
        <f t="shared" si="8"/>
        <v>8.0000000000000002E-3</v>
      </c>
      <c r="H69" s="10">
        <f t="shared" si="9"/>
        <v>1.4999999999999999E-2</v>
      </c>
      <c r="I69" s="11">
        <f t="shared" si="10"/>
        <v>0.78099999999999992</v>
      </c>
      <c r="J69" s="11">
        <f t="shared" si="11"/>
        <v>0</v>
      </c>
      <c r="K69" s="11">
        <f t="shared" si="12"/>
        <v>2.9999999999999997E-4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112" t="str">
        <f t="shared" ref="A70:B82" si="15">IF(A25="","",A25)</f>
        <v>ﾘｹﾌﾞﾚｯﾄﾞDH</v>
      </c>
      <c r="B70" s="167">
        <f t="shared" si="15"/>
        <v>0.5</v>
      </c>
      <c r="C70" s="10">
        <f t="shared" si="4"/>
        <v>2.8999999999999998E-2</v>
      </c>
      <c r="D70" s="10">
        <f t="shared" si="5"/>
        <v>0.10400000000000001</v>
      </c>
      <c r="E70" s="10">
        <f t="shared" si="6"/>
        <v>0.14749999999999999</v>
      </c>
      <c r="F70" s="10">
        <f t="shared" si="7"/>
        <v>0.2175</v>
      </c>
      <c r="G70" s="10">
        <f t="shared" si="8"/>
        <v>0</v>
      </c>
      <c r="H70" s="10">
        <f t="shared" si="9"/>
        <v>2E-3</v>
      </c>
      <c r="I70" s="11">
        <f t="shared" si="10"/>
        <v>0.44500000000000001</v>
      </c>
      <c r="J70" s="11">
        <f t="shared" si="11"/>
        <v>0</v>
      </c>
      <c r="K70" s="11">
        <f t="shared" si="12"/>
        <v>0.1275</v>
      </c>
      <c r="L70" s="66">
        <f t="shared" si="13"/>
        <v>5.0000000000000001E-3</v>
      </c>
      <c r="N70" s="3" t="str">
        <f t="shared" si="14"/>
        <v/>
      </c>
      <c r="AA70" s="91" t="s">
        <v>54</v>
      </c>
    </row>
    <row r="71" spans="1:27" x14ac:dyDescent="0.2">
      <c r="A71" s="112" t="str">
        <f t="shared" si="15"/>
        <v>仕込水（※ラボ吸水）</v>
      </c>
      <c r="B71" s="167">
        <f t="shared" si="15"/>
        <v>53</v>
      </c>
      <c r="C71" s="10">
        <f t="shared" si="4"/>
        <v>53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48</v>
      </c>
    </row>
    <row r="72" spans="1:27" x14ac:dyDescent="0.2">
      <c r="A72" s="112" t="str">
        <f t="shared" si="15"/>
        <v/>
      </c>
      <c r="B72" s="16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49</v>
      </c>
    </row>
    <row r="73" spans="1:27" x14ac:dyDescent="0.2">
      <c r="A73" s="112" t="str">
        <f t="shared" si="15"/>
        <v/>
      </c>
      <c r="B73" s="16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50</v>
      </c>
    </row>
    <row r="74" spans="1:27" x14ac:dyDescent="0.2">
      <c r="A74" s="112" t="str">
        <f t="shared" si="15"/>
        <v/>
      </c>
      <c r="B74" s="16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51</v>
      </c>
    </row>
    <row r="75" spans="1:27" x14ac:dyDescent="0.2">
      <c r="A75" s="112" t="str">
        <f t="shared" si="15"/>
        <v/>
      </c>
      <c r="B75" s="16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80</v>
      </c>
    </row>
    <row r="76" spans="1:27" x14ac:dyDescent="0.2">
      <c r="A76" s="112" t="str">
        <f t="shared" si="15"/>
        <v/>
      </c>
      <c r="B76" s="16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112" t="str">
        <f t="shared" si="15"/>
        <v/>
      </c>
      <c r="B77" s="16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112" t="str">
        <f t="shared" si="15"/>
        <v/>
      </c>
      <c r="B78" s="16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112" t="str">
        <f t="shared" si="15"/>
        <v/>
      </c>
      <c r="B79" s="16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112" t="str">
        <f t="shared" si="15"/>
        <v/>
      </c>
      <c r="B80" s="16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112" t="str">
        <f t="shared" si="15"/>
        <v/>
      </c>
      <c r="B81" s="16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112" t="str">
        <f t="shared" si="15"/>
        <v/>
      </c>
      <c r="B82" s="167" t="str">
        <f t="shared" si="15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184.5</v>
      </c>
      <c r="C83" s="10">
        <f t="shared" si="16"/>
        <v>76.09</v>
      </c>
      <c r="D83" s="10">
        <f t="shared" si="16"/>
        <v>13.092499999999999</v>
      </c>
      <c r="E83" s="10">
        <f t="shared" si="16"/>
        <v>11.197000000000001</v>
      </c>
      <c r="F83" s="10">
        <f t="shared" si="16"/>
        <v>78.033969999999982</v>
      </c>
      <c r="G83" s="10">
        <f t="shared" si="16"/>
        <v>3.0066300000000008</v>
      </c>
      <c r="H83" s="10">
        <f t="shared" si="16"/>
        <v>3.0198999999999989</v>
      </c>
      <c r="I83" s="11">
        <f t="shared" si="16"/>
        <v>898.58699999999988</v>
      </c>
      <c r="J83" s="11">
        <f t="shared" si="16"/>
        <v>8.9040000000000008E-2</v>
      </c>
      <c r="K83" s="11">
        <f t="shared" si="16"/>
        <v>5.2650000000000006</v>
      </c>
      <c r="L83" s="11">
        <f t="shared" si="16"/>
        <v>18.749219999999998</v>
      </c>
    </row>
    <row r="84" spans="1:14" x14ac:dyDescent="0.2">
      <c r="A84" s="5" t="s">
        <v>18</v>
      </c>
      <c r="B84" s="8">
        <v>17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153.13499999999999</v>
      </c>
      <c r="C85" s="10">
        <f>C83-B83*B84/100</f>
        <v>44.725000000000009</v>
      </c>
      <c r="D85" s="10">
        <f t="shared" ref="D85:L85" si="17">SUM(D53:D82)</f>
        <v>13.092499999999999</v>
      </c>
      <c r="E85" s="10">
        <f t="shared" si="17"/>
        <v>11.197000000000001</v>
      </c>
      <c r="F85" s="10">
        <f t="shared" si="17"/>
        <v>78.033969999999982</v>
      </c>
      <c r="G85" s="10">
        <f t="shared" si="17"/>
        <v>3.0066300000000008</v>
      </c>
      <c r="H85" s="10">
        <f t="shared" si="17"/>
        <v>3.0198999999999989</v>
      </c>
      <c r="I85" s="11">
        <f t="shared" si="17"/>
        <v>898.58699999999988</v>
      </c>
      <c r="J85" s="54">
        <f t="shared" si="17"/>
        <v>8.9040000000000008E-2</v>
      </c>
      <c r="K85" s="54">
        <f t="shared" si="17"/>
        <v>5.2650000000000006</v>
      </c>
      <c r="L85" s="66">
        <f t="shared" si="17"/>
        <v>18.749219999999998</v>
      </c>
    </row>
    <row r="86" spans="1:14" x14ac:dyDescent="0.2">
      <c r="A86" s="5" t="s">
        <v>20</v>
      </c>
      <c r="B86" s="14">
        <f>SUM(C86:H86)</f>
        <v>100</v>
      </c>
      <c r="C86" s="14">
        <f>ROUND(+C85/B85*100,1)</f>
        <v>29.2</v>
      </c>
      <c r="D86" s="14">
        <f>ROUND(+D85/B85*100,1)</f>
        <v>8.5</v>
      </c>
      <c r="E86" s="14">
        <f>ROUND(+E85/B85*100,1)</f>
        <v>7.3</v>
      </c>
      <c r="F86" s="14">
        <f>ROUND(+F85/B85*100,1)</f>
        <v>51</v>
      </c>
      <c r="G86" s="14">
        <f>ROUND(+G85/B85*100,1)</f>
        <v>2</v>
      </c>
      <c r="H86" s="14">
        <f>ROUND(+H85/B85*100,1)</f>
        <v>2</v>
      </c>
      <c r="I86" s="15">
        <f>ROUND(+I85/B85*100,1)</f>
        <v>586.79999999999995</v>
      </c>
      <c r="J86" s="11">
        <f>(+J85/B85*100)</f>
        <v>5.814477421882653E-2</v>
      </c>
      <c r="K86" s="11">
        <f>(+K85/B85*100)</f>
        <v>3.4381428151630922</v>
      </c>
      <c r="L86" s="66">
        <f>(+L85/B85*100)</f>
        <v>12.243588990106767</v>
      </c>
    </row>
    <row r="87" spans="1:14" x14ac:dyDescent="0.2">
      <c r="A87" s="5" t="s">
        <v>21</v>
      </c>
      <c r="B87" s="14">
        <f>SUM(C87:H87)</f>
        <v>100</v>
      </c>
      <c r="C87" s="173">
        <v>29.2</v>
      </c>
      <c r="D87" s="173">
        <v>8.5</v>
      </c>
      <c r="E87" s="173">
        <v>7.3</v>
      </c>
      <c r="F87" s="14">
        <f>F86+100-B86</f>
        <v>51</v>
      </c>
      <c r="G87" s="173">
        <v>2</v>
      </c>
      <c r="H87" s="173">
        <v>2</v>
      </c>
      <c r="I87" s="173">
        <v>586.79999999999995</v>
      </c>
      <c r="J87" s="174">
        <v>5.814477421882653E-2</v>
      </c>
      <c r="K87" s="174">
        <v>3.4381428151630922</v>
      </c>
      <c r="L87" s="173">
        <v>12.243588990106767</v>
      </c>
      <c r="M87" s="183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25"/>
    </row>
    <row r="89" spans="1:14" x14ac:dyDescent="0.2">
      <c r="A89" s="130" t="s">
        <v>11</v>
      </c>
      <c r="B89" s="130" t="s">
        <v>12</v>
      </c>
      <c r="C89" s="130" t="s">
        <v>4</v>
      </c>
      <c r="D89" s="130" t="s">
        <v>5</v>
      </c>
      <c r="E89" s="130" t="s">
        <v>6</v>
      </c>
      <c r="F89" s="130" t="s">
        <v>7</v>
      </c>
      <c r="G89" s="130" t="s">
        <v>8</v>
      </c>
      <c r="H89" s="130" t="s">
        <v>9</v>
      </c>
      <c r="I89" s="131" t="s">
        <v>13</v>
      </c>
      <c r="J89" s="132" t="s">
        <v>32</v>
      </c>
      <c r="K89" s="133" t="s">
        <v>33</v>
      </c>
      <c r="L89" s="134" t="s">
        <v>127</v>
      </c>
    </row>
    <row r="90" spans="1:14" x14ac:dyDescent="0.2">
      <c r="A90" s="6" t="s">
        <v>14</v>
      </c>
      <c r="B90" s="12">
        <f>B40*(100-B84)/100</f>
        <v>63.91</v>
      </c>
      <c r="C90" s="10">
        <f>C87/100*B90</f>
        <v>18.661719999999999</v>
      </c>
      <c r="D90" s="10">
        <f>D87/100*B90</f>
        <v>5.4323500000000005</v>
      </c>
      <c r="E90" s="10">
        <f>E87/100*B90</f>
        <v>4.6654299999999997</v>
      </c>
      <c r="F90" s="10">
        <f>F87/100*B90</f>
        <v>32.594099999999997</v>
      </c>
      <c r="G90" s="10">
        <f>G87/100*B90</f>
        <v>1.2782</v>
      </c>
      <c r="H90" s="10">
        <f>H87/100*B90</f>
        <v>1.2782</v>
      </c>
      <c r="I90" s="11">
        <f>I87/100*B90</f>
        <v>375.02387999999996</v>
      </c>
      <c r="J90" s="53">
        <f>J87/100*B90</f>
        <v>3.7160325203252034E-2</v>
      </c>
      <c r="K90" s="53">
        <f>K87/100*B90</f>
        <v>2.1973170731707321</v>
      </c>
      <c r="L90" s="67">
        <f>L87/100*B90</f>
        <v>7.8248777235772344</v>
      </c>
    </row>
    <row r="91" spans="1:14" x14ac:dyDescent="0.2">
      <c r="A91" s="112" t="str">
        <f>IF(A41="","",A41)</f>
        <v/>
      </c>
      <c r="B91" s="16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112" t="str">
        <f t="shared" ref="A92:B99" si="28">IF(A42="","",A42)</f>
        <v/>
      </c>
      <c r="B92" s="16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112" t="str">
        <f t="shared" si="28"/>
        <v/>
      </c>
      <c r="B93" s="16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112" t="str">
        <f t="shared" si="28"/>
        <v/>
      </c>
      <c r="B94" s="16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112" t="str">
        <f t="shared" si="28"/>
        <v/>
      </c>
      <c r="B95" s="16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112" t="str">
        <f t="shared" si="28"/>
        <v/>
      </c>
      <c r="B96" s="16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112" t="str">
        <f t="shared" si="28"/>
        <v/>
      </c>
      <c r="B97" s="16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112" t="str">
        <f t="shared" si="28"/>
        <v/>
      </c>
      <c r="B98" s="16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112" t="str">
        <f t="shared" si="28"/>
        <v/>
      </c>
      <c r="B99" s="16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63.91</v>
      </c>
      <c r="C100" s="10">
        <f t="shared" si="29"/>
        <v>18.661719999999999</v>
      </c>
      <c r="D100" s="10">
        <f t="shared" si="29"/>
        <v>5.4323500000000005</v>
      </c>
      <c r="E100" s="10">
        <f t="shared" si="29"/>
        <v>4.6654299999999997</v>
      </c>
      <c r="F100" s="10">
        <f t="shared" si="29"/>
        <v>32.594099999999997</v>
      </c>
      <c r="G100" s="10">
        <f t="shared" si="29"/>
        <v>1.2782</v>
      </c>
      <c r="H100" s="10">
        <f t="shared" si="29"/>
        <v>1.2782</v>
      </c>
      <c r="I100" s="11">
        <f t="shared" si="29"/>
        <v>375.02387999999996</v>
      </c>
      <c r="J100" s="11">
        <f t="shared" si="29"/>
        <v>3.7160325203252034E-2</v>
      </c>
      <c r="K100" s="11">
        <f t="shared" si="29"/>
        <v>2.1973170731707321</v>
      </c>
      <c r="L100" s="11">
        <f t="shared" si="29"/>
        <v>7.8248777235772344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63.91</v>
      </c>
      <c r="C102" s="10">
        <f>C100-B100*B101/100</f>
        <v>18.661719999999999</v>
      </c>
      <c r="D102" s="10">
        <f t="shared" ref="D102:L102" si="30">SUM(D90:D99)</f>
        <v>5.4323500000000005</v>
      </c>
      <c r="E102" s="10">
        <f t="shared" si="30"/>
        <v>4.6654299999999997</v>
      </c>
      <c r="F102" s="10">
        <f t="shared" si="30"/>
        <v>32.594099999999997</v>
      </c>
      <c r="G102" s="10">
        <f t="shared" si="30"/>
        <v>1.2782</v>
      </c>
      <c r="H102" s="10">
        <f t="shared" si="30"/>
        <v>1.2782</v>
      </c>
      <c r="I102" s="11">
        <f t="shared" si="30"/>
        <v>375.02387999999996</v>
      </c>
      <c r="J102" s="56">
        <f t="shared" si="30"/>
        <v>3.7160325203252034E-2</v>
      </c>
      <c r="K102" s="56">
        <f t="shared" si="30"/>
        <v>2.1973170731707321</v>
      </c>
      <c r="L102" s="67">
        <f t="shared" si="30"/>
        <v>7.8248777235772344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29.2</v>
      </c>
      <c r="D103" s="17">
        <f>ROUND(+D102/B102*100,1)</f>
        <v>8.5</v>
      </c>
      <c r="E103" s="17">
        <f>ROUND(+E102/B102*100,1)</f>
        <v>7.3</v>
      </c>
      <c r="F103" s="17">
        <f>ROUND(+F102/B102*100,1)</f>
        <v>51</v>
      </c>
      <c r="G103" s="17">
        <f>ROUND(+G102/B102*100,1)</f>
        <v>2</v>
      </c>
      <c r="H103" s="17">
        <f>ROUND(+H102/B102*100,1)</f>
        <v>2</v>
      </c>
      <c r="I103" s="94">
        <f>ROUND(+I102/B102*100,0)</f>
        <v>587</v>
      </c>
      <c r="J103" s="95">
        <f>ROUND(+J102/B102*100,2)</f>
        <v>0.06</v>
      </c>
      <c r="K103" s="95">
        <f>ROUND(+K102/B102*100,2)</f>
        <v>3.44</v>
      </c>
      <c r="L103" s="93">
        <f>ROUND(+L102/B102*100,0)</f>
        <v>12</v>
      </c>
    </row>
    <row r="104" spans="1:12" ht="18.75" thickTop="1" thickBot="1" x14ac:dyDescent="0.25">
      <c r="A104" s="29" t="s">
        <v>21</v>
      </c>
      <c r="B104" s="30">
        <f>SUM(C104:H104)</f>
        <v>51</v>
      </c>
      <c r="C104" s="175"/>
      <c r="D104" s="175"/>
      <c r="E104" s="175"/>
      <c r="F104" s="31">
        <f>F103+100-B103</f>
        <v>51</v>
      </c>
      <c r="G104" s="176"/>
      <c r="H104" s="176"/>
      <c r="I104" s="177"/>
      <c r="J104" s="178"/>
      <c r="K104" s="178"/>
      <c r="L104" s="177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62</v>
      </c>
      <c r="B106" s="168"/>
      <c r="C106" s="25"/>
      <c r="D106" s="25"/>
      <c r="E106" s="25"/>
      <c r="F106" s="26">
        <f>SUM(F104:G104)</f>
        <v>51</v>
      </c>
      <c r="G106" s="169" t="str">
        <f>IF(COUNTIF($A$6,"*ﾍﾞｲｼｱ*"),"食塩相当量は小数点1桁にしてAK列も「1」に変更する！！栄養成分の単位「1個(標準○○ｇ)あたり」に変更する！！","")</f>
        <v/>
      </c>
      <c r="H106" s="204" t="s">
        <v>134</v>
      </c>
      <c r="I106" s="205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206" t="s">
        <v>135</v>
      </c>
      <c r="I107" s="207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204</v>
      </c>
      <c r="D108" s="18" t="s">
        <v>24</v>
      </c>
      <c r="E108" s="59"/>
      <c r="F108" s="57"/>
      <c r="G108" s="2"/>
      <c r="H108" s="208" t="s">
        <v>136</v>
      </c>
      <c r="I108" s="209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0" t="s">
        <v>40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1" t="s">
        <v>41</v>
      </c>
      <c r="D112" s="101" t="s">
        <v>35</v>
      </c>
      <c r="E112" s="101" t="s">
        <v>29</v>
      </c>
      <c r="F112" s="101" t="s">
        <v>26</v>
      </c>
      <c r="G112" s="101" t="s">
        <v>30</v>
      </c>
      <c r="H112" s="101" t="s">
        <v>33</v>
      </c>
      <c r="I112" s="101" t="s">
        <v>42</v>
      </c>
      <c r="J112" s="101" t="s">
        <v>43</v>
      </c>
      <c r="K112" s="21"/>
      <c r="L112" s="61"/>
    </row>
    <row r="113" spans="1:12" x14ac:dyDescent="0.2">
      <c r="A113" s="2"/>
      <c r="B113" s="21"/>
      <c r="C113" s="102">
        <f>AG14</f>
        <v>130</v>
      </c>
      <c r="D113" s="103">
        <f>AG15</f>
        <v>0</v>
      </c>
      <c r="E113" s="103">
        <f>AG16</f>
        <v>0</v>
      </c>
      <c r="F113" s="104">
        <f>AG17</f>
        <v>32.6</v>
      </c>
      <c r="G113" s="105">
        <f>AG18</f>
        <v>0</v>
      </c>
      <c r="H113" s="106">
        <f>AG23</f>
        <v>0</v>
      </c>
      <c r="I113" s="105">
        <f>IF(AG13&gt;=100,AG24,IF(AE24&lt;0.3,0,AG24))</f>
        <v>0</v>
      </c>
      <c r="J113" s="107">
        <f>IF(AE25&lt;5,0,AG25)</f>
        <v>0</v>
      </c>
      <c r="K113" s="21"/>
      <c r="L113" s="61"/>
    </row>
    <row r="114" spans="1:12" x14ac:dyDescent="0.2">
      <c r="A114" s="2"/>
      <c r="B114" s="21"/>
      <c r="C114" s="108" t="s">
        <v>44</v>
      </c>
      <c r="D114" s="109" t="s">
        <v>45</v>
      </c>
      <c r="E114" s="109" t="s">
        <v>45</v>
      </c>
      <c r="F114" s="110" t="s">
        <v>45</v>
      </c>
      <c r="G114" s="109" t="s">
        <v>45</v>
      </c>
      <c r="H114" s="110" t="s">
        <v>45</v>
      </c>
      <c r="I114" s="109" t="s">
        <v>45</v>
      </c>
      <c r="J114" s="111" t="s">
        <v>46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5"/>
    </row>
    <row r="120" spans="1:12" x14ac:dyDescent="0.2">
      <c r="A120" s="91"/>
    </row>
  </sheetData>
  <mergeCells count="11">
    <mergeCell ref="G4:H4"/>
    <mergeCell ref="A5:E5"/>
    <mergeCell ref="A6:E6"/>
    <mergeCell ref="AB7:AI7"/>
    <mergeCell ref="AE12:AE13"/>
    <mergeCell ref="AG12:AI12"/>
    <mergeCell ref="AK12:AK13"/>
    <mergeCell ref="AN14:AQ14"/>
    <mergeCell ref="AM15:AQ15"/>
    <mergeCell ref="AA31:AJ31"/>
    <mergeCell ref="AC35:AD35"/>
  </mergeCells>
  <phoneticPr fontId="16"/>
  <conditionalFormatting sqref="AA1:AJ1048576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cmdCopy">
          <controlPr defaultSize="0" autoLine="0" autoPict="0" r:id="rId5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43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2295" r:id="rId4" name="cmdCopy"/>
      </mc:Fallback>
    </mc:AlternateContent>
    <mc:AlternateContent xmlns:mc="http://schemas.openxmlformats.org/markup-compatibility/2006">
      <mc:Choice Requires="x14">
        <control shapeId="12291" r:id="rId6" name="cmdCopy87">
          <controlPr defaultSize="0" autoLine="0" autoPict="0" r:id="rId7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600075</xdr:colOff>
                <xdr:row>87</xdr:row>
                <xdr:rowOff>47625</xdr:rowOff>
              </to>
            </anchor>
          </controlPr>
        </control>
      </mc:Choice>
      <mc:Fallback>
        <control shapeId="12291" r:id="rId6" name="cmdCopy87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209550</xdr:colOff>
                <xdr:row>87</xdr:row>
                <xdr:rowOff>66675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3" r:id="rId10" name="cmdCopy104">
          <controlPr defaultSize="0" autoLine="0" autoPict="0" r:id="rId11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657225</xdr:colOff>
                <xdr:row>104</xdr:row>
                <xdr:rowOff>57150</xdr:rowOff>
              </to>
            </anchor>
          </controlPr>
        </control>
      </mc:Choice>
      <mc:Fallback>
        <control shapeId="12293" r:id="rId10" name="cmdCopy104"/>
      </mc:Fallback>
    </mc:AlternateContent>
    <mc:AlternateContent xmlns:mc="http://schemas.openxmlformats.org/markup-compatibility/2006">
      <mc:Choice Requires="x14">
        <control shapeId="12294" r:id="rId12" name="cmdClear104">
          <controlPr defaultSize="0" autoLine="0" autoPict="0" r:id="rId13">
            <anchor mov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200025</xdr:colOff>
                <xdr:row>104</xdr:row>
                <xdr:rowOff>57150</xdr:rowOff>
              </to>
            </anchor>
          </controlPr>
        </control>
      </mc:Choice>
      <mc:Fallback>
        <control shapeId="12294" r:id="rId12" name="cmdClear104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2309～</vt:lpstr>
      <vt:lpstr>HP掲載用</vt:lpstr>
      <vt:lpstr>'2309～'!Print_Area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金田　有生</dc:creator>
  <cp:lastModifiedBy>共有　システム開発　</cp:lastModifiedBy>
  <cp:lastPrinted>2021-08-31T05:12:49Z</cp:lastPrinted>
  <dcterms:created xsi:type="dcterms:W3CDTF">1999-12-02T04:43:04Z</dcterms:created>
  <dcterms:modified xsi:type="dcterms:W3CDTF">2026-05-14T07:24:49Z</dcterms:modified>
</cp:coreProperties>
</file>