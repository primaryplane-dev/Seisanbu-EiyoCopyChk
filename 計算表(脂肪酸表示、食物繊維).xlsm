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60" windowWidth="19575" windowHeight="804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15" l="1"/>
  <c r="N81" i="15"/>
  <c r="N80" i="15"/>
  <c r="N79" i="15"/>
  <c r="N78" i="15"/>
  <c r="N77" i="15"/>
  <c r="N76" i="15"/>
  <c r="N75" i="15"/>
  <c r="N74" i="15"/>
  <c r="N73" i="15"/>
  <c r="N72" i="15"/>
  <c r="N71" i="15"/>
  <c r="N70" i="15"/>
  <c r="N69" i="15"/>
  <c r="N68" i="15"/>
  <c r="N67" i="15"/>
  <c r="N66" i="15"/>
  <c r="N65" i="15"/>
  <c r="N64" i="15"/>
  <c r="N63" i="15"/>
  <c r="N62" i="15"/>
  <c r="N61" i="15"/>
  <c r="N60" i="15"/>
  <c r="N59" i="15"/>
  <c r="N58" i="15"/>
  <c r="N57" i="15"/>
  <c r="N56" i="15"/>
  <c r="N55" i="15"/>
  <c r="N54" i="15"/>
  <c r="N53" i="15"/>
  <c r="K119" i="15" l="1"/>
  <c r="C118" i="15"/>
  <c r="AE19" i="15" l="1"/>
  <c r="AE17" i="15"/>
  <c r="AE18" i="15"/>
  <c r="C106" i="15" l="1"/>
  <c r="AA38" i="15"/>
  <c r="AA37" i="15"/>
  <c r="AA36" i="15"/>
  <c r="AE35" i="15" l="1"/>
  <c r="AG12" i="15"/>
  <c r="AB7" i="15"/>
  <c r="B99" i="15"/>
  <c r="K99" i="15" s="1"/>
  <c r="A92" i="15"/>
  <c r="B92" i="15"/>
  <c r="I92" i="15" s="1"/>
  <c r="A93" i="15"/>
  <c r="B93" i="15"/>
  <c r="J93" i="15" s="1"/>
  <c r="A94" i="15"/>
  <c r="B94" i="15"/>
  <c r="J94" i="15" s="1"/>
  <c r="A95" i="15"/>
  <c r="B95" i="15"/>
  <c r="I95" i="15" s="1"/>
  <c r="A96" i="15"/>
  <c r="B96" i="15"/>
  <c r="L96" i="15" s="1"/>
  <c r="A97" i="15"/>
  <c r="B97" i="15"/>
  <c r="K97" i="15" s="1"/>
  <c r="A98" i="15"/>
  <c r="B98" i="15"/>
  <c r="J98" i="15" s="1"/>
  <c r="A99" i="15"/>
  <c r="B91" i="15"/>
  <c r="K91" i="15" s="1"/>
  <c r="A91" i="15"/>
  <c r="B80" i="15"/>
  <c r="I80" i="15" s="1"/>
  <c r="A54" i="15"/>
  <c r="B54" i="15"/>
  <c r="C54" i="15" s="1"/>
  <c r="A55" i="15"/>
  <c r="B55" i="15"/>
  <c r="E55" i="15" s="1"/>
  <c r="A56" i="15"/>
  <c r="B56" i="15"/>
  <c r="C56" i="15" s="1"/>
  <c r="A57" i="15"/>
  <c r="B57" i="15"/>
  <c r="E57" i="15" s="1"/>
  <c r="A58" i="15"/>
  <c r="B58" i="15"/>
  <c r="C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A81" i="15"/>
  <c r="B81" i="15"/>
  <c r="E81" i="15" s="1"/>
  <c r="A82" i="15"/>
  <c r="B82" i="15"/>
  <c r="D82" i="15" s="1"/>
  <c r="B53" i="15"/>
  <c r="I53" i="15" s="1"/>
  <c r="A53" i="15"/>
  <c r="AA14" i="15"/>
  <c r="AI5" i="15"/>
  <c r="AE25" i="15"/>
  <c r="AE23" i="15" s="1"/>
  <c r="AE15" i="15"/>
  <c r="AE26" i="15"/>
  <c r="C82" i="15"/>
  <c r="D54" i="15"/>
  <c r="F54" i="15"/>
  <c r="H54" i="15"/>
  <c r="I54" i="15"/>
  <c r="J54" i="15"/>
  <c r="L54" i="15"/>
  <c r="G55" i="15"/>
  <c r="H55" i="15"/>
  <c r="J55" i="15"/>
  <c r="E56" i="15"/>
  <c r="F56" i="15"/>
  <c r="H56" i="15"/>
  <c r="C57" i="15"/>
  <c r="H57" i="15"/>
  <c r="L57" i="15"/>
  <c r="H58" i="15"/>
  <c r="I58" i="15"/>
  <c r="J58" i="15"/>
  <c r="F59" i="15"/>
  <c r="G59" i="15"/>
  <c r="H59" i="15"/>
  <c r="D60" i="15"/>
  <c r="E60" i="15"/>
  <c r="F60" i="15"/>
  <c r="I60" i="15"/>
  <c r="J60" i="15"/>
  <c r="L60" i="15"/>
  <c r="D61" i="15"/>
  <c r="F61" i="15"/>
  <c r="F62" i="15"/>
  <c r="H62" i="15"/>
  <c r="I62" i="15"/>
  <c r="C63" i="15"/>
  <c r="D63" i="15"/>
  <c r="F63" i="15"/>
  <c r="G63" i="15"/>
  <c r="J63" i="15"/>
  <c r="K63" i="15"/>
  <c r="L63" i="15"/>
  <c r="D64" i="15"/>
  <c r="E64" i="15"/>
  <c r="J64" i="15"/>
  <c r="L64" i="15"/>
  <c r="C65" i="15"/>
  <c r="D66" i="15"/>
  <c r="E66" i="15"/>
  <c r="F66" i="15"/>
  <c r="H66" i="15"/>
  <c r="J66" i="15"/>
  <c r="L66" i="15"/>
  <c r="C67" i="15"/>
  <c r="D67" i="15"/>
  <c r="F67" i="15"/>
  <c r="K67" i="15"/>
  <c r="L67" i="15"/>
  <c r="D68" i="15"/>
  <c r="I68" i="15"/>
  <c r="J68" i="15"/>
  <c r="L68" i="15"/>
  <c r="K69" i="15"/>
  <c r="E70" i="15"/>
  <c r="F70" i="15"/>
  <c r="H70" i="15"/>
  <c r="C71" i="15"/>
  <c r="D71" i="15"/>
  <c r="F71" i="15"/>
  <c r="K71" i="15"/>
  <c r="L71" i="15"/>
  <c r="D72" i="15"/>
  <c r="F72" i="15"/>
  <c r="H72" i="15"/>
  <c r="I72" i="15"/>
  <c r="J72" i="15"/>
  <c r="L72" i="15"/>
  <c r="E74" i="15"/>
  <c r="F74" i="15"/>
  <c r="H74" i="15"/>
  <c r="C75" i="15"/>
  <c r="D75" i="15"/>
  <c r="F75" i="15"/>
  <c r="H75" i="15"/>
  <c r="J75" i="15"/>
  <c r="K75" i="15"/>
  <c r="L75" i="15"/>
  <c r="D76" i="15"/>
  <c r="I76" i="15"/>
  <c r="J76" i="15"/>
  <c r="L76" i="15"/>
  <c r="D78" i="15"/>
  <c r="E78" i="15"/>
  <c r="F78" i="15"/>
  <c r="H78" i="15"/>
  <c r="J78" i="15"/>
  <c r="L78" i="15"/>
  <c r="C79" i="15"/>
  <c r="D79" i="15"/>
  <c r="F79" i="15"/>
  <c r="K79" i="15"/>
  <c r="L79" i="15"/>
  <c r="F80" i="15"/>
  <c r="G81" i="15"/>
  <c r="H81" i="15"/>
  <c r="E82" i="15"/>
  <c r="F82" i="15"/>
  <c r="G82" i="15"/>
  <c r="K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C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AE22" i="15"/>
  <c r="I94" i="15"/>
  <c r="F99" i="15"/>
  <c r="L98" i="15"/>
  <c r="K98" i="15"/>
  <c r="H98" i="15"/>
  <c r="G98" i="15"/>
  <c r="F98" i="15"/>
  <c r="D98" i="15"/>
  <c r="C98" i="15"/>
  <c r="J97" i="15"/>
  <c r="H97" i="15"/>
  <c r="J96" i="15"/>
  <c r="H96" i="15"/>
  <c r="F96" i="15"/>
  <c r="E96" i="15"/>
  <c r="K95" i="15"/>
  <c r="F95" i="15"/>
  <c r="E95" i="15"/>
  <c r="L94" i="15"/>
  <c r="K94" i="15"/>
  <c r="F94" i="15"/>
  <c r="D94" i="15"/>
  <c r="L93" i="15"/>
  <c r="F93" i="15"/>
  <c r="L92" i="15"/>
  <c r="J92" i="15"/>
  <c r="H92" i="15"/>
  <c r="G92" i="15"/>
  <c r="E92" i="15"/>
  <c r="D92" i="15"/>
  <c r="C92" i="15"/>
  <c r="I99" i="15"/>
  <c r="I98" i="15"/>
  <c r="AE27" i="15"/>
  <c r="AE16" i="15"/>
  <c r="J90" i="15"/>
  <c r="K90" i="15" l="1"/>
  <c r="J79" i="15"/>
  <c r="H76" i="15"/>
  <c r="L74" i="15"/>
  <c r="J71" i="15"/>
  <c r="D70" i="15"/>
  <c r="I64" i="15"/>
  <c r="E62" i="15"/>
  <c r="L59" i="15"/>
  <c r="L85" i="15" s="1"/>
  <c r="F58" i="15"/>
  <c r="L56" i="15"/>
  <c r="L83" i="15" s="1"/>
  <c r="D56" i="15"/>
  <c r="F55" i="15"/>
  <c r="H99" i="15"/>
  <c r="D90" i="15"/>
  <c r="L53" i="15"/>
  <c r="G94" i="15"/>
  <c r="K96" i="15"/>
  <c r="F76" i="15"/>
  <c r="J74" i="15"/>
  <c r="H71" i="15"/>
  <c r="F68" i="15"/>
  <c r="H65" i="15"/>
  <c r="L62" i="15"/>
  <c r="C59" i="15"/>
  <c r="E58" i="15"/>
  <c r="J56" i="15"/>
  <c r="L55" i="15"/>
  <c r="D55" i="15"/>
  <c r="I90" i="15"/>
  <c r="H94" i="15"/>
  <c r="D96" i="15"/>
  <c r="C97" i="15"/>
  <c r="I96" i="15"/>
  <c r="I82" i="15"/>
  <c r="H80" i="15"/>
  <c r="G79" i="15"/>
  <c r="I78" i="15"/>
  <c r="D77" i="15"/>
  <c r="E76" i="15"/>
  <c r="G75" i="15"/>
  <c r="I74" i="15"/>
  <c r="C73" i="15"/>
  <c r="E72" i="15"/>
  <c r="G71" i="15"/>
  <c r="I70" i="15"/>
  <c r="J69" i="15"/>
  <c r="E68" i="15"/>
  <c r="G67" i="15"/>
  <c r="I66" i="15"/>
  <c r="G65" i="15"/>
  <c r="F64" i="15"/>
  <c r="H63" i="15"/>
  <c r="J62" i="15"/>
  <c r="K61" i="15"/>
  <c r="H60" i="15"/>
  <c r="J59" i="15"/>
  <c r="L58" i="15"/>
  <c r="D58" i="15"/>
  <c r="I56" i="15"/>
  <c r="K55" i="15"/>
  <c r="C55" i="15"/>
  <c r="E54" i="15"/>
  <c r="G90" i="15"/>
  <c r="D74" i="15"/>
  <c r="L70" i="15"/>
  <c r="J67" i="15"/>
  <c r="D59" i="15"/>
  <c r="H68" i="15"/>
  <c r="L99" i="15"/>
  <c r="J82" i="15"/>
  <c r="H79" i="15"/>
  <c r="F77" i="15"/>
  <c r="L73" i="15"/>
  <c r="J70" i="15"/>
  <c r="H67" i="15"/>
  <c r="H64" i="15"/>
  <c r="D62" i="15"/>
  <c r="K59" i="15"/>
  <c r="B100" i="15"/>
  <c r="B102" i="15" s="1"/>
  <c r="AG13" i="15" s="1"/>
  <c r="AG27" i="15" s="1"/>
  <c r="C93" i="15"/>
  <c r="G95" i="15"/>
  <c r="L97" i="15"/>
  <c r="C99" i="15"/>
  <c r="F81" i="15"/>
  <c r="E80" i="15"/>
  <c r="C77" i="15"/>
  <c r="K73" i="15"/>
  <c r="H69" i="15"/>
  <c r="F65" i="15"/>
  <c r="C61" i="15"/>
  <c r="K57" i="15"/>
  <c r="D93" i="15"/>
  <c r="J95" i="15"/>
  <c r="E99" i="15"/>
  <c r="D81" i="15"/>
  <c r="D80" i="15"/>
  <c r="L77" i="15"/>
  <c r="J73" i="15"/>
  <c r="G69" i="15"/>
  <c r="D65" i="15"/>
  <c r="L61" i="15"/>
  <c r="J57" i="15"/>
  <c r="C80" i="15"/>
  <c r="H73" i="15"/>
  <c r="G93" i="15"/>
  <c r="L95" i="15"/>
  <c r="D97" i="15"/>
  <c r="G99" i="15"/>
  <c r="L81" i="15"/>
  <c r="L80" i="15"/>
  <c r="J77" i="15"/>
  <c r="G73" i="15"/>
  <c r="D69" i="15"/>
  <c r="L65" i="15"/>
  <c r="J61" i="15"/>
  <c r="G57" i="15"/>
  <c r="F69" i="15"/>
  <c r="H93" i="15"/>
  <c r="E97" i="15"/>
  <c r="J99" i="15"/>
  <c r="K81" i="15"/>
  <c r="J80" i="15"/>
  <c r="H77" i="15"/>
  <c r="F73" i="15"/>
  <c r="C69" i="15"/>
  <c r="K65" i="15"/>
  <c r="H61" i="15"/>
  <c r="F57" i="15"/>
  <c r="C81" i="15"/>
  <c r="K77" i="15"/>
  <c r="I97" i="15"/>
  <c r="K93" i="15"/>
  <c r="C95" i="15"/>
  <c r="G97" i="15"/>
  <c r="J81" i="15"/>
  <c r="G77" i="15"/>
  <c r="D73" i="15"/>
  <c r="L69" i="15"/>
  <c r="J65" i="15"/>
  <c r="G61" i="15"/>
  <c r="D57" i="15"/>
  <c r="H90" i="15"/>
  <c r="L90" i="15"/>
  <c r="E90" i="15"/>
  <c r="J113" i="15"/>
  <c r="AG19" i="15"/>
  <c r="I126" i="15" s="1"/>
  <c r="F92" i="15"/>
  <c r="K92" i="15"/>
  <c r="E93" i="15"/>
  <c r="E94" i="15"/>
  <c r="D95" i="15"/>
  <c r="H95" i="15"/>
  <c r="C96" i="15"/>
  <c r="G96" i="15"/>
  <c r="F97" i="15"/>
  <c r="E98" i="15"/>
  <c r="D99" i="15"/>
  <c r="E91" i="15"/>
  <c r="J91" i="15"/>
  <c r="D91" i="15"/>
  <c r="C91" i="15"/>
  <c r="G91" i="15"/>
  <c r="L91" i="15"/>
  <c r="L100" i="15" s="1"/>
  <c r="I91" i="15"/>
  <c r="I100" i="15" s="1"/>
  <c r="H91" i="15"/>
  <c r="F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I57" i="15"/>
  <c r="K56" i="15"/>
  <c r="G56" i="15"/>
  <c r="I55" i="15"/>
  <c r="K54" i="15"/>
  <c r="G54" i="15"/>
  <c r="E53" i="15"/>
  <c r="H53" i="15"/>
  <c r="K53" i="15"/>
  <c r="B83" i="15"/>
  <c r="B85" i="15" s="1"/>
  <c r="G53" i="15"/>
  <c r="J53" i="15"/>
  <c r="C53" i="15"/>
  <c r="D53" i="15"/>
  <c r="F53" i="15"/>
  <c r="K102" i="15" l="1"/>
  <c r="K103" i="15" s="1"/>
  <c r="C83" i="15"/>
  <c r="H100" i="15"/>
  <c r="J102" i="15"/>
  <c r="J103" i="15" s="1"/>
  <c r="C100" i="15"/>
  <c r="C102" i="15" s="1"/>
  <c r="C103" i="15" s="1"/>
  <c r="AG25" i="15"/>
  <c r="AG23" i="15" s="1"/>
  <c r="AG17" i="15"/>
  <c r="Z17" i="15" s="1"/>
  <c r="AG26" i="15"/>
  <c r="AG18" i="15"/>
  <c r="Z18" i="15" s="1"/>
  <c r="AG22" i="15"/>
  <c r="I129" i="15" s="1"/>
  <c r="AG16" i="15"/>
  <c r="I123" i="15" s="1"/>
  <c r="AK23" i="15"/>
  <c r="I130" i="15"/>
  <c r="E113" i="15"/>
  <c r="K100" i="15"/>
  <c r="AG15" i="15"/>
  <c r="I124" i="15"/>
  <c r="I102" i="15"/>
  <c r="I103" i="15" s="1"/>
  <c r="I85" i="15"/>
  <c r="I86" i="15" s="1"/>
  <c r="I83" i="15"/>
  <c r="D100" i="15"/>
  <c r="L86" i="15"/>
  <c r="H113" i="15"/>
  <c r="H102" i="15"/>
  <c r="H103" i="15" s="1"/>
  <c r="L102" i="15"/>
  <c r="L103" i="15" s="1"/>
  <c r="D102" i="15"/>
  <c r="D103" i="15" s="1"/>
  <c r="J100" i="15"/>
  <c r="G102" i="15"/>
  <c r="G103" i="15" s="1"/>
  <c r="E102" i="15"/>
  <c r="E103" i="15" s="1"/>
  <c r="E100" i="15"/>
  <c r="G113" i="15"/>
  <c r="G100" i="15"/>
  <c r="D85" i="15"/>
  <c r="D86" i="15" s="1"/>
  <c r="D83" i="15"/>
  <c r="E83" i="15"/>
  <c r="E85" i="15"/>
  <c r="E86" i="15" s="1"/>
  <c r="F85" i="15"/>
  <c r="F86" i="15" s="1"/>
  <c r="F83" i="15"/>
  <c r="G85" i="15"/>
  <c r="G86" i="15" s="1"/>
  <c r="G83" i="15"/>
  <c r="J85" i="15"/>
  <c r="J86" i="15" s="1"/>
  <c r="J83" i="15"/>
  <c r="H85" i="15"/>
  <c r="H86" i="15" s="1"/>
  <c r="H83" i="15"/>
  <c r="K85" i="15"/>
  <c r="K86" i="15" s="1"/>
  <c r="K83" i="15"/>
  <c r="C85" i="15"/>
  <c r="C86" i="15" s="1"/>
  <c r="B86" i="15" s="1"/>
  <c r="I125" i="15" l="1"/>
  <c r="I113" i="15"/>
  <c r="D113" i="15"/>
  <c r="I122" i="15"/>
  <c r="F87" i="15"/>
  <c r="B87" i="15" l="1"/>
  <c r="F90" i="15"/>
  <c r="F102" i="15" l="1"/>
  <c r="F103" i="15" s="1"/>
  <c r="B103" i="15" s="1"/>
  <c r="F104" i="15" s="1"/>
  <c r="F100" i="15"/>
  <c r="B104" i="15" l="1"/>
  <c r="AE21" i="15"/>
  <c r="AG21" i="15" s="1"/>
  <c r="I128" i="15" s="1"/>
  <c r="F106" i="15"/>
  <c r="AE20" i="15" s="1"/>
  <c r="C108" i="15"/>
  <c r="AE14" i="15" s="1"/>
  <c r="AG20" i="15" l="1"/>
  <c r="AG14" i="15"/>
  <c r="C113" i="15" l="1"/>
  <c r="I121" i="15"/>
  <c r="F113" i="15"/>
  <c r="I127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<sst xmlns="http://schemas.openxmlformats.org/spreadsheetml/2006/main" count="166" uniqueCount="95">
  <si>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</si>
  <si>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</si>
  <si>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</si>
  <si>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</si>
  <si>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</si>
  <si>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</si>
  <si>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</si>
  <si>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</si>
  <si>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</si>
  <si>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</si>
  <si>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</si>
  <si>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</si>
  <si>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</si>
  <si>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</si>
  <si>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</si>
  <si>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</si>
  <si>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</si>
  <si>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</si>
  <si>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</si>
  <si>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</si>
  <si>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</si>
  <si>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</si>
  <si>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</si>
  <si>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</si>
  <si>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</si>
  <si>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</si>
  <si>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</si>
  <si>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</si>
  <si>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</si>
  <si>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</si>
  <si>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</si>
  <si>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</si>
  <si>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</si>
  <si>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</si>
  <si>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</si>
  <si>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</si>
  <si>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</si>
  <si>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</si>
  <si>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</si>
  <si>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</si>
  <si>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</si>
  <si>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</si>
  <si>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</si>
  <si>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</si>
  <si>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</si>
  <si>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</si>
  <si>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</si>
  <si>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</si>
  <si>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</si>
  <si>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</si>
  <si>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</si>
  <si>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</si>
  <si>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</si>
  <si>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</si>
  <si>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</si>
  <si>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</si>
  <si>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</si>
  <si>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</si>
  <si>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</si>
  <si>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</si>
  <si>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</si>
  <si>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</si>
  <si>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</si>
  <si>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</si>
  <si>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</si>
  <si>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</si>
  <si>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この表示値は、目安です。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</si>
  <si>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</si>
  <si>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</si>
  <si>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</si>
  <si>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</si>
  <si>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計算表(脂肪酸表示、食物繊維)</t>
    <phoneticPr fontId="3"/>
  </si>
  <si>
    <t>規格重量</t>
    <rPh sb="0" eb="2">
      <t>キカク</t>
    </rPh>
    <rPh sb="2" eb="4">
      <t>ジュウリョウ</t>
    </rPh>
    <phoneticPr fontId="1"/>
  </si>
  <si>
    <t>出力用</t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</si>
  <si>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</si>
  <si>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</si>
  <si>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</si>
  <si>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</si>
  <si>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</si>
  <si>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</si>
  <si>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　</t>
  </si>
  <si>
    <t>炭水化物</t>
    <rPh sb="0" eb="4">
      <t>タンスイカブツ</t>
    </rPh>
    <phoneticPr fontId="3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</si>
  <si>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</si>
  <si>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たんぱく質</t>
    <rPh sb="4" eb="5">
      <t>シツ</t>
    </rPh>
    <phoneticPr fontId="37"/>
  </si>
  <si>
    <t>脂質</t>
    <rPh sb="0" eb="2">
      <t>シシツ</t>
    </rPh>
    <phoneticPr fontId="37"/>
  </si>
  <si>
    <t>　-飽和脂肪酸</t>
    <rPh sb="2" eb="4">
      <t>ホウワ</t>
    </rPh>
    <rPh sb="4" eb="7">
      <t>シボウサン</t>
    </rPh>
    <phoneticPr fontId="37"/>
  </si>
  <si>
    <t>　-トランス脂肪酸</t>
    <rPh sb="6" eb="9">
      <t>シボウサン</t>
    </rPh>
    <phoneticPr fontId="37"/>
  </si>
  <si>
    <t>コレステロール</t>
    <phoneticPr fontId="37"/>
  </si>
  <si>
    <t xml:space="preserve"> -糖質</t>
    <rPh sb="2" eb="4">
      <t>トウシツ</t>
    </rPh>
    <phoneticPr fontId="37"/>
  </si>
  <si>
    <t xml:space="preserve"> -食物繊維</t>
    <rPh sb="2" eb="4">
      <t>ショクモツ</t>
    </rPh>
    <rPh sb="4" eb="6">
      <t>センイ</t>
    </rPh>
    <phoneticPr fontId="37"/>
  </si>
  <si>
    <t>分類</t>
    <rPh sb="0" eb="2">
      <t>ブンルイ</t>
    </rPh>
    <phoneticPr fontId="2"/>
  </si>
  <si>
    <t>年月日</t>
    <rPh sb="0" eb="1">
      <t>ネン</t>
    </rPh>
    <rPh sb="1" eb="2">
      <t>ガツ</t>
    </rPh>
    <rPh sb="2" eb="3">
      <t>ニチ</t>
    </rPh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</si>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</sst>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_ ;[Red]\-0.0\ "/>
    <numFmt numFmtId="188" formatCode="0.00;\-0.00;0;@"/>
    <numFmt numFmtId="189" formatCode="0;\-0;0;@"/>
    <numFmt numFmtId="190" formatCode="0_ "/>
    <numFmt numFmtId="191" formatCode="0.0;\-0.0;0;@"/>
    <numFmt numFmtId="192" formatCode="0.00;\-0.00;0.00;@"/>
  </numFmts>
  <fonts count="39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b/>
      <sz val="14"/>
      <color rgb="FFFF000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6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3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5" xfId="3" applyNumberFormat="1" applyFont="1" applyBorder="1" applyAlignment="1" applyProtection="1">
      <alignment horizontal="right"/>
    </xf>
    <xf numFmtId="176" fontId="6" fillId="0" borderId="16" xfId="3" applyNumberFormat="1" applyFont="1" applyBorder="1" applyProtection="1">
      <protection locked="0"/>
    </xf>
    <xf numFmtId="176" fontId="5" fillId="0" borderId="15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7" xfId="3" applyNumberFormat="1" applyFont="1" applyBorder="1" applyAlignment="1" applyProtection="1">
      <alignment horizontal="left"/>
    </xf>
    <xf numFmtId="2" fontId="6" fillId="0" borderId="17" xfId="3" applyNumberFormat="1" applyFont="1" applyBorder="1" applyProtection="1">
      <protection locked="0"/>
    </xf>
    <xf numFmtId="1" fontId="5" fillId="0" borderId="17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8" xfId="3" applyNumberFormat="1" applyFont="1" applyBorder="1" applyProtection="1"/>
    <xf numFmtId="38" fontId="5" fillId="0" borderId="19" xfId="3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3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0" xfId="3" applyFont="1" applyBorder="1"/>
    <xf numFmtId="179" fontId="32" fillId="0" borderId="21" xfId="3" applyNumberFormat="1" applyFont="1" applyBorder="1"/>
    <xf numFmtId="178" fontId="32" fillId="0" borderId="20" xfId="3" applyNumberFormat="1" applyFont="1" applyBorder="1"/>
    <xf numFmtId="178" fontId="32" fillId="0" borderId="9" xfId="3" applyNumberFormat="1" applyFont="1" applyBorder="1"/>
    <xf numFmtId="180" fontId="32" fillId="0" borderId="20" xfId="3" applyNumberFormat="1" applyFont="1" applyBorder="1"/>
    <xf numFmtId="180" fontId="32" fillId="0" borderId="9" xfId="3" applyNumberFormat="1" applyFont="1" applyBorder="1"/>
    <xf numFmtId="179" fontId="32" fillId="0" borderId="22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185" fontId="4" fillId="0" borderId="0" xfId="3" applyNumberFormat="1" applyFont="1" applyAlignment="1">
      <alignment horizontal="right"/>
    </xf>
    <xf numFmtId="2" fontId="5" fillId="5" borderId="27" xfId="3" applyNumberFormat="1" applyFont="1" applyFill="1" applyBorder="1" applyAlignment="1" applyProtection="1">
      <alignment horizontal="center"/>
      <protection locked="0"/>
    </xf>
    <xf numFmtId="49" fontId="6" fillId="0" borderId="27" xfId="1" applyNumberFormat="1" applyFont="1" applyBorder="1" applyAlignment="1" applyProtection="1">
      <alignment horizontal="center"/>
      <protection locked="0"/>
    </xf>
    <xf numFmtId="0" fontId="6" fillId="0" borderId="27" xfId="1" applyNumberFormat="1" applyFont="1" applyBorder="1" applyAlignment="1" applyProtection="1">
      <alignment horizontal="center"/>
      <protection locked="0"/>
    </xf>
    <xf numFmtId="0" fontId="6" fillId="0" borderId="27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1" fontId="29" fillId="0" borderId="4" xfId="0" applyNumberFormat="1" applyFont="1" applyBorder="1" applyProtection="1">
      <protection locked="0"/>
    </xf>
    <xf numFmtId="2" fontId="6" fillId="5" borderId="28" xfId="3" applyNumberFormat="1" applyFont="1" applyFill="1" applyBorder="1" applyProtection="1">
      <protection locked="0"/>
    </xf>
    <xf numFmtId="0" fontId="10" fillId="0" borderId="0" xfId="3" applyNumberFormat="1" applyFont="1" applyAlignment="1">
      <alignment horizontal="center"/>
    </xf>
    <xf numFmtId="187" fontId="6" fillId="4" borderId="29" xfId="1" applyNumberFormat="1" applyFont="1" applyFill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76" fontId="34" fillId="0" borderId="0" xfId="3" applyNumberFormat="1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1" fontId="5" fillId="0" borderId="18" xfId="1" applyNumberFormat="1" applyFont="1" applyBorder="1" applyProtection="1"/>
    <xf numFmtId="189" fontId="11" fillId="0" borderId="6" xfId="1" applyNumberFormat="1" applyFont="1" applyBorder="1" applyAlignment="1">
      <alignment horizontal="center"/>
    </xf>
    <xf numFmtId="189" fontId="11" fillId="0" borderId="6" xfId="3" applyNumberFormat="1" applyFont="1" applyBorder="1" applyAlignment="1">
      <alignment horizontal="center"/>
    </xf>
    <xf numFmtId="49" fontId="35" fillId="0" borderId="31" xfId="4" applyNumberFormat="1" applyFont="1" applyFill="1" applyBorder="1" applyAlignment="1" applyProtection="1">
      <alignment vertical="center"/>
      <protection locked="0"/>
    </xf>
    <xf numFmtId="49" fontId="35" fillId="0" borderId="36" xfId="4" applyNumberFormat="1" applyFont="1" applyFill="1" applyBorder="1" applyAlignment="1" applyProtection="1">
      <alignment vertical="center" shrinkToFit="1"/>
      <protection locked="0"/>
    </xf>
    <xf numFmtId="49" fontId="35" fillId="0" borderId="32" xfId="4" applyNumberFormat="1" applyFont="1" applyFill="1" applyBorder="1" applyAlignment="1" applyProtection="1">
      <alignment vertical="center" shrinkToFit="1"/>
      <protection locked="0"/>
    </xf>
    <xf numFmtId="49" fontId="35" fillId="0" borderId="40" xfId="4" applyNumberFormat="1" applyFont="1" applyFill="1" applyBorder="1" applyAlignment="1" applyProtection="1">
      <alignment vertical="center" shrinkToFit="1"/>
      <protection locked="0"/>
    </xf>
    <xf numFmtId="49" fontId="35" fillId="0" borderId="8" xfId="4" applyNumberFormat="1" applyFont="1" applyFill="1" applyBorder="1" applyAlignment="1" applyProtection="1">
      <alignment vertical="center" shrinkToFit="1"/>
      <protection locked="0"/>
    </xf>
    <xf numFmtId="2" fontId="5" fillId="5" borderId="24" xfId="3" applyNumberFormat="1" applyFont="1" applyFill="1" applyBorder="1" applyAlignment="1" applyProtection="1">
      <alignment horizontal="center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6" fontId="6" fillId="9" borderId="14" xfId="3" applyNumberFormat="1" applyFont="1" applyFill="1" applyBorder="1" applyProtection="1">
      <protection locked="0"/>
    </xf>
    <xf numFmtId="1" fontId="6" fillId="9" borderId="14" xfId="3" applyNumberFormat="1" applyFont="1" applyFill="1" applyBorder="1" applyProtection="1">
      <protection locked="0"/>
    </xf>
    <xf numFmtId="2" fontId="6" fillId="9" borderId="14" xfId="3" applyNumberFormat="1" applyFont="1" applyFill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91" fontId="11" fillId="0" borderId="6" xfId="3" applyNumberFormat="1" applyFont="1" applyBorder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9" borderId="4" xfId="3" applyNumberFormat="1" applyFont="1" applyFill="1" applyBorder="1" applyProtection="1">
      <protection locked="0"/>
    </xf>
    <xf numFmtId="192" fontId="11" fillId="0" borderId="6" xfId="3" applyNumberFormat="1" applyFont="1" applyBorder="1" applyAlignment="1">
      <alignment horizontal="center"/>
    </xf>
    <xf numFmtId="176" fontId="6" fillId="0" borderId="41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2" xfId="3" applyNumberFormat="1" applyFont="1" applyFill="1" applyBorder="1" applyProtection="1">
      <protection locked="0"/>
    </xf>
    <xf numFmtId="2" fontId="6" fillId="0" borderId="42" xfId="3" applyNumberFormat="1" applyFont="1" applyBorder="1" applyProtection="1">
      <protection locked="0"/>
    </xf>
    <xf numFmtId="2" fontId="6" fillId="4" borderId="41" xfId="6" applyNumberFormat="1" applyFont="1" applyFill="1" applyBorder="1" applyAlignment="1" applyProtection="1">
      <protection locked="0"/>
    </xf>
    <xf numFmtId="2" fontId="6" fillId="0" borderId="38" xfId="3" applyNumberFormat="1" applyFont="1" applyBorder="1" applyAlignment="1" applyProtection="1">
      <alignment horizontal="center" vertical="center" shrinkToFit="1"/>
      <protection locked="0"/>
    </xf>
    <xf numFmtId="2" fontId="6" fillId="0" borderId="37" xfId="3" applyNumberFormat="1" applyFont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5" fillId="0" borderId="0" xfId="0" applyFont="1" applyFill="1" applyBorder="1" applyAlignment="1">
      <alignment horizontal="left" vertical="center"/>
    </xf>
    <xf numFmtId="2" fontId="13" fillId="0" borderId="0" xfId="3" applyFont="1" applyFill="1" applyBorder="1" applyAlignment="1">
      <alignment horizontal="left" vertical="center"/>
    </xf>
    <xf numFmtId="2" fontId="4" fillId="3" borderId="23" xfId="3" applyFont="1" applyFill="1" applyBorder="1" applyAlignment="1">
      <alignment horizontal="center" vertical="center" wrapText="1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0" fontId="6" fillId="0" borderId="26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5" fillId="7" borderId="17" xfId="4" applyNumberFormat="1" applyFont="1" applyFill="1" applyBorder="1" applyAlignment="1" applyProtection="1">
      <alignment horizontal="left" vertical="center" shrinkToFit="1"/>
      <protection locked="0"/>
    </xf>
    <xf numFmtId="179" fontId="35" fillId="8" borderId="17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17" xfId="4" applyNumberFormat="1" applyFont="1" applyBorder="1" applyAlignment="1">
      <alignment horizontal="center" vertical="center"/>
    </xf>
    <xf numFmtId="0" fontId="35" fillId="0" borderId="30" xfId="5" applyFont="1" applyBorder="1" applyAlignment="1">
      <alignment horizontal="left" vertical="center" shrinkToFit="1"/>
    </xf>
    <xf numFmtId="0" fontId="35" fillId="8" borderId="30" xfId="5" applyFont="1" applyFill="1" applyBorder="1" applyAlignment="1">
      <alignment horizontal="left" vertical="center" shrinkToFit="1"/>
    </xf>
    <xf numFmtId="190" fontId="35" fillId="8" borderId="30" xfId="4" applyNumberFormat="1" applyFont="1" applyFill="1" applyBorder="1" applyAlignment="1" applyProtection="1">
      <alignment horizontal="center" vertical="center" shrinkToFit="1"/>
      <protection locked="0"/>
    </xf>
    <xf numFmtId="190" fontId="35" fillId="7" borderId="30" xfId="5" applyNumberFormat="1" applyFont="1" applyFill="1" applyBorder="1" applyAlignment="1" applyProtection="1">
      <alignment horizontal="center" vertical="center" shrinkToFit="1"/>
      <protection locked="0"/>
    </xf>
    <xf numFmtId="49" fontId="35" fillId="0" borderId="32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33" xfId="4" applyNumberFormat="1" applyFont="1" applyFill="1" applyBorder="1" applyAlignment="1" applyProtection="1">
      <alignment horizontal="left" vertical="center" shrinkToFit="1"/>
      <protection locked="0"/>
    </xf>
    <xf numFmtId="179" fontId="35" fillId="8" borderId="34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2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5" xfId="4" applyNumberFormat="1" applyFont="1" applyFill="1" applyBorder="1" applyAlignment="1" applyProtection="1">
      <alignment horizontal="right" vertical="center" shrinkToFit="1"/>
      <protection locked="0"/>
    </xf>
    <xf numFmtId="49" fontId="35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37" xfId="4" applyNumberFormat="1" applyFont="1" applyFill="1" applyBorder="1" applyAlignment="1" applyProtection="1">
      <alignment horizontal="left" vertical="center" shrinkToFit="1"/>
      <protection locked="0"/>
    </xf>
    <xf numFmtId="178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78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5" fillId="8" borderId="39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9" xfId="4" applyNumberFormat="1" applyFont="1" applyFill="1" applyBorder="1" applyAlignment="1" applyProtection="1">
      <alignment horizontal="right" vertical="center" shrinkToFit="1"/>
      <protection locked="0"/>
    </xf>
  </cellXfs>
  <cellStyles count="7">
    <cellStyle name="パーセント" xfId="6" builtinId="5"/>
    <cellStyle name="桁区切り 2" xfId="1"/>
    <cellStyle name="標準" xfId="0" builtinId="0"/>
    <cellStyle name="標準 2" xfId="2"/>
    <cellStyle name="標準 3 4" xfId="5"/>
    <cellStyle name="標準_ﾊﾞﾀｰﾛｰﾙ生地" xfId="3"/>
    <cellStyle name="標準_新PB商品カルテ(QC確認済みFix）" xfId="4"/>
  </cellStyles>
  <dxfs count="8"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54428</xdr:colOff>
      <xdr:row>23</xdr:row>
      <xdr:rowOff>174170</xdr:rowOff>
    </xdr:from>
    <xdr:to>
      <xdr:col>27</xdr:col>
      <xdr:colOff>108856</xdr:colOff>
      <xdr:row>26</xdr:row>
      <xdr:rowOff>228600</xdr:rowOff>
    </xdr:to>
    <xdr:sp macro="" textlink="">
      <xdr:nvSpPr>
        <xdr:cNvPr id="2" name="四角形吹き出し 1"/>
        <xdr:cNvSpPr/>
      </xdr:nvSpPr>
      <xdr:spPr bwMode="auto">
        <a:xfrm>
          <a:off x="10450285" y="6172199"/>
          <a:ext cx="2438400" cy="925287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17</xdr:col>
      <xdr:colOff>1</xdr:colOff>
      <xdr:row>129</xdr:row>
      <xdr:rowOff>95251</xdr:rowOff>
    </xdr:from>
    <xdr:to>
      <xdr:col>26</xdr:col>
      <xdr:colOff>1673679</xdr:colOff>
      <xdr:row>133</xdr:row>
      <xdr:rowOff>136074</xdr:rowOff>
    </xdr:to>
    <xdr:sp macro="" textlink="">
      <xdr:nvSpPr>
        <xdr:cNvPr id="7" name="四角形吹き出し 6"/>
        <xdr:cNvSpPr/>
      </xdr:nvSpPr>
      <xdr:spPr bwMode="auto">
        <a:xfrm>
          <a:off x="11361965" y="29826858"/>
          <a:ext cx="2694214" cy="911680"/>
        </a:xfrm>
        <a:prstGeom prst="wedgeRectCallout">
          <a:avLst>
            <a:gd name="adj1" fmla="val -87536"/>
            <a:gd name="adj2" fmla="val -4681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19</xdr:col>
      <xdr:colOff>0</xdr:colOff>
      <xdr:row>18</xdr:row>
      <xdr:rowOff>174172</xdr:rowOff>
    </xdr:from>
    <xdr:to>
      <xdr:col>26</xdr:col>
      <xdr:colOff>1562099</xdr:colOff>
      <xdr:row>20</xdr:row>
      <xdr:rowOff>261258</xdr:rowOff>
    </xdr:to>
    <xdr:sp macro="" textlink="">
      <xdr:nvSpPr>
        <xdr:cNvPr id="8" name="四角形吹き出し 7"/>
        <xdr:cNvSpPr/>
      </xdr:nvSpPr>
      <xdr:spPr bwMode="auto">
        <a:xfrm>
          <a:off x="10395857" y="4702629"/>
          <a:ext cx="2345871" cy="674915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トランス脂肪酸</a:t>
          </a:r>
          <a:endParaRPr kumimoji="1" lang="en-US" altLang="ja-JP" sz="1100"/>
        </a:p>
        <a:p>
          <a:pPr algn="l"/>
          <a:r>
            <a:rPr kumimoji="1" lang="ja-JP" altLang="en-US" sz="1100"/>
            <a:t>セブンプレミアム　食パン用に</a:t>
          </a:r>
          <a:r>
            <a:rPr kumimoji="1" lang="en-US" altLang="ja-JP" sz="1100"/>
            <a:t>100g</a:t>
          </a:r>
          <a:r>
            <a:rPr kumimoji="1" lang="ja-JP" altLang="en-US" sz="1100"/>
            <a:t>当たりを下</a:t>
          </a:r>
          <a:r>
            <a:rPr kumimoji="1" lang="en-US" altLang="ja-JP" sz="1100"/>
            <a:t>2</a:t>
          </a:r>
          <a:r>
            <a:rPr kumimoji="1" lang="ja-JP" altLang="en-US" sz="1100"/>
            <a:t>桁までの表記にしました。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86</xdr:row>
          <xdr:rowOff>0</xdr:rowOff>
        </xdr:from>
        <xdr:to>
          <xdr:col>19</xdr:col>
          <xdr:colOff>9525</xdr:colOff>
          <xdr:row>87</xdr:row>
          <xdr:rowOff>57150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57150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103</xdr:row>
          <xdr:rowOff>0</xdr:rowOff>
        </xdr:from>
        <xdr:to>
          <xdr:col>19</xdr:col>
          <xdr:colOff>9525</xdr:colOff>
          <xdr:row>104</xdr:row>
          <xdr:rowOff>47625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/>
  <dimension ref="A1:AK13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3" customWidth="1"/>
    <col min="13" max="13" width="10.625" style="4"/>
    <col min="14" max="14" width="10.625" style="4" customWidth="1"/>
    <col min="15" max="15" width="0.75" style="4" customWidth="1"/>
    <col min="16" max="25" width="1.125" style="4" customWidth="1"/>
    <col min="26" max="26" width="4.75" style="130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71</v>
      </c>
    </row>
    <row r="2" spans="1:37" x14ac:dyDescent="0.2">
      <c r="A2" s="116" t="s">
        <v>73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74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75</v>
      </c>
      <c r="B4" s="2"/>
      <c r="C4" s="2"/>
      <c r="D4" s="2"/>
      <c r="E4" s="2"/>
      <c r="F4" s="148" t="s">
        <v>90</v>
      </c>
      <c r="G4" s="166"/>
      <c r="H4" s="167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3" t="s">
        <v>1</v>
      </c>
      <c r="B5" s="174"/>
      <c r="C5" s="174"/>
      <c r="D5" s="174"/>
      <c r="E5" s="175"/>
      <c r="F5" s="120" t="s">
        <v>67</v>
      </c>
      <c r="G5" s="120" t="s">
        <v>68</v>
      </c>
      <c r="H5" s="120" t="s">
        <v>69</v>
      </c>
      <c r="I5" s="139" t="s">
        <v>91</v>
      </c>
      <c r="J5" s="2"/>
      <c r="K5" s="2" t="s">
        <v>70</v>
      </c>
      <c r="L5" s="3"/>
      <c r="AA5" s="5"/>
      <c r="AB5" s="5"/>
      <c r="AC5" s="5"/>
      <c r="AD5" s="5"/>
      <c r="AE5" s="5"/>
      <c r="AF5" s="5"/>
      <c r="AG5" s="5"/>
      <c r="AH5" s="5"/>
      <c r="AI5" s="119" t="str">
        <f>$I$5</f>
        <v>年月日</v>
      </c>
      <c r="AJ5" s="5"/>
    </row>
    <row r="6" spans="1:37" ht="21" x14ac:dyDescent="0.2">
      <c r="A6" s="176"/>
      <c r="B6" s="177"/>
      <c r="C6" s="177"/>
      <c r="D6" s="177"/>
      <c r="E6" s="178"/>
      <c r="F6" s="121"/>
      <c r="G6" s="122"/>
      <c r="H6" s="123"/>
      <c r="I6" s="6"/>
      <c r="J6" s="7"/>
      <c r="K6" s="7" t="s">
        <v>76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4" t="s">
        <v>2</v>
      </c>
      <c r="B7" s="125" t="s">
        <v>3</v>
      </c>
      <c r="C7" s="125" t="s">
        <v>4</v>
      </c>
      <c r="D7" s="125" t="s">
        <v>5</v>
      </c>
      <c r="E7" s="125" t="s">
        <v>6</v>
      </c>
      <c r="F7" s="125" t="s">
        <v>7</v>
      </c>
      <c r="G7" s="125" t="s">
        <v>8</v>
      </c>
      <c r="H7" s="125" t="s">
        <v>9</v>
      </c>
      <c r="I7" s="126" t="s">
        <v>10</v>
      </c>
      <c r="J7" s="127" t="s">
        <v>11</v>
      </c>
      <c r="K7" s="128" t="s">
        <v>12</v>
      </c>
      <c r="L7" s="129" t="s">
        <v>41</v>
      </c>
      <c r="AA7" s="12" t="s">
        <v>14</v>
      </c>
      <c r="AB7" s="179" t="e">
        <f>IF(COUNTIF($F$6,"1"),CONCATENATE($A$6,"(",$H$6,")"),CONCATENATE($A$6,$F$6,$G$6,"入","(",$H$6,")"))</f>
        <v>#VALUE!</v>
      </c>
      <c r="AC7" s="179"/>
      <c r="AD7" s="179"/>
      <c r="AE7" s="179"/>
      <c r="AF7" s="179"/>
      <c r="AG7" s="179"/>
      <c r="AH7" s="179"/>
      <c r="AI7" s="179"/>
      <c r="AJ7" s="5"/>
    </row>
    <row r="8" spans="1:37" x14ac:dyDescent="0.2">
      <c r="A8" s="100"/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4">
        <f>SUM(C8:H8)</f>
        <v>0</v>
      </c>
      <c r="AJ8" s="5"/>
    </row>
    <row r="9" spans="1:37" x14ac:dyDescent="0.2">
      <c r="A9" s="100"/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0"/>
      <c r="B10" s="101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0"/>
      <c r="B11" s="101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0"/>
      <c r="B12" s="101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4">
        <f t="shared" si="0"/>
        <v>0</v>
      </c>
      <c r="AA12" s="12" t="s">
        <v>15</v>
      </c>
      <c r="AB12" s="5"/>
      <c r="AC12" s="5"/>
      <c r="AD12" s="13"/>
      <c r="AE12" s="168" t="s">
        <v>60</v>
      </c>
      <c r="AG12" s="171" t="e">
        <f>"1"&amp;$G$6&amp;"当たり"</f>
        <v>#VALUE!</v>
      </c>
      <c r="AH12" s="171"/>
      <c r="AI12" s="171"/>
      <c r="AJ12" s="14"/>
      <c r="AK12" s="172" t="s">
        <v>46</v>
      </c>
    </row>
    <row r="13" spans="1:37" ht="24.75" x14ac:dyDescent="0.25">
      <c r="A13" s="100"/>
      <c r="B13" s="101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4">
        <f t="shared" si="0"/>
        <v>0</v>
      </c>
      <c r="AA13" s="5"/>
      <c r="AB13" s="5"/>
      <c r="AC13" s="5"/>
      <c r="AD13" s="15"/>
      <c r="AE13" s="169"/>
      <c r="AF13" s="13"/>
      <c r="AG13" s="134">
        <f>IF((COUNTIF($A$6,"*7P*")+COUNTIF($A$6,"*ｾﾌﾞﾝﾌﾟﾚﾐｱﾑ*")),$B$106,ROUND($B$102,0))</f>
        <v>100</v>
      </c>
      <c r="AH13" s="17" t="s">
        <v>16</v>
      </c>
      <c r="AI13" s="16"/>
      <c r="AJ13" s="18"/>
      <c r="AK13" s="172"/>
    </row>
    <row r="14" spans="1:37" s="19" customFormat="1" ht="22.5" x14ac:dyDescent="0.25">
      <c r="A14" s="100"/>
      <c r="B14" s="101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4">
        <f t="shared" si="0"/>
        <v>0</v>
      </c>
      <c r="N14" s="4"/>
      <c r="Z14" s="130"/>
      <c r="AA14" s="20" t="str">
        <f>IF(COUNTIF(A6,"*FM*"),"熱量","エネルギー")</f>
        <v>エネルギー</v>
      </c>
      <c r="AB14" s="21"/>
      <c r="AC14" s="22"/>
      <c r="AD14" s="22"/>
      <c r="AE14" s="23" t="e">
        <f>$C$108</f>
        <v>#DIV/0!</v>
      </c>
      <c r="AF14" s="24"/>
      <c r="AG14" s="23" t="e">
        <f>ROUND((AG15+AG21)*4+(AG16*9)+(AG22*2),0)</f>
        <v>#DIV/0!</v>
      </c>
      <c r="AH14" s="22" t="s">
        <v>51</v>
      </c>
      <c r="AI14" s="25"/>
      <c r="AJ14" s="21"/>
      <c r="AK14" s="99">
        <v>0</v>
      </c>
    </row>
    <row r="15" spans="1:37" ht="22.5" x14ac:dyDescent="0.25">
      <c r="A15" s="100"/>
      <c r="B15" s="101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4">
        <f t="shared" si="0"/>
        <v>0</v>
      </c>
      <c r="AA15" s="26" t="s">
        <v>17</v>
      </c>
      <c r="AB15" s="27"/>
      <c r="AC15" s="22"/>
      <c r="AD15" s="22"/>
      <c r="AE15" s="25">
        <f>$D$104</f>
        <v>0</v>
      </c>
      <c r="AF15" s="24"/>
      <c r="AG15" s="25">
        <f>ROUND(($AG$13*AE15)/100,1)</f>
        <v>0</v>
      </c>
      <c r="AH15" s="22" t="s">
        <v>61</v>
      </c>
      <c r="AI15" s="25"/>
      <c r="AJ15" s="27"/>
      <c r="AK15" s="99">
        <v>1</v>
      </c>
    </row>
    <row r="16" spans="1:37" ht="22.5" x14ac:dyDescent="0.25">
      <c r="A16" s="100"/>
      <c r="B16" s="101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9">
        <f t="shared" si="0"/>
        <v>0</v>
      </c>
      <c r="N16" s="19"/>
      <c r="AA16" s="26" t="s">
        <v>18</v>
      </c>
      <c r="AB16" s="22"/>
      <c r="AC16" s="22"/>
      <c r="AD16" s="22"/>
      <c r="AE16" s="25">
        <f>$E$104</f>
        <v>0</v>
      </c>
      <c r="AF16" s="24"/>
      <c r="AG16" s="25">
        <f>ROUND(($AG$13*AE16)/100,1)</f>
        <v>0</v>
      </c>
      <c r="AH16" s="22" t="s">
        <v>61</v>
      </c>
      <c r="AI16" s="25"/>
      <c r="AJ16" s="27"/>
      <c r="AK16" s="99">
        <v>1</v>
      </c>
    </row>
    <row r="17" spans="1:37" ht="22.5" x14ac:dyDescent="0.25">
      <c r="A17" s="100"/>
      <c r="B17" s="101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4">
        <f t="shared" si="0"/>
        <v>0</v>
      </c>
      <c r="Z17" s="130" t="str">
        <f>IF(AG17&lt;15,"","＊1")</f>
        <v/>
      </c>
      <c r="AA17" s="26" t="s">
        <v>64</v>
      </c>
      <c r="AB17" s="22"/>
      <c r="AC17" s="22"/>
      <c r="AD17" s="22"/>
      <c r="AE17" s="136">
        <f>$K$104</f>
        <v>0</v>
      </c>
      <c r="AF17" s="39"/>
      <c r="AG17" s="136">
        <f>ROUND(($AG$13*AE17)/100,2)</f>
        <v>0</v>
      </c>
      <c r="AH17" s="22" t="s">
        <v>61</v>
      </c>
      <c r="AI17" s="30"/>
      <c r="AJ17" s="27"/>
      <c r="AK17" s="99">
        <v>2</v>
      </c>
    </row>
    <row r="18" spans="1:37" ht="22.5" x14ac:dyDescent="0.25">
      <c r="A18" s="100"/>
      <c r="B18" s="101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4">
        <f t="shared" si="0"/>
        <v>0</v>
      </c>
      <c r="Z18" s="130" t="str">
        <f>IF(OR(AND(AE18&gt;=0.3,AG18*VALUE(F6)&gt;=0.45),AE18&gt;=0.45),"＊2","")</f>
        <v/>
      </c>
      <c r="AA18" s="26" t="s">
        <v>65</v>
      </c>
      <c r="AB18" s="22"/>
      <c r="AC18" s="22"/>
      <c r="AD18" s="22"/>
      <c r="AE18" s="159">
        <f>$J$104</f>
        <v>0</v>
      </c>
      <c r="AF18" s="40"/>
      <c r="AG18" s="136">
        <f>IF(AND($AG$13&lt;100,$AE$18&lt;0.3),0,(ROUND(($AG$13*AE18)/100,2)))</f>
        <v>0</v>
      </c>
      <c r="AH18" s="22" t="s">
        <v>61</v>
      </c>
      <c r="AI18" s="30"/>
      <c r="AJ18" s="27"/>
      <c r="AK18" s="99">
        <v>0</v>
      </c>
    </row>
    <row r="19" spans="1:37" ht="22.5" x14ac:dyDescent="0.25">
      <c r="A19" s="100"/>
      <c r="B19" s="101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4">
        <f t="shared" si="0"/>
        <v>0</v>
      </c>
      <c r="AA19" s="26" t="s">
        <v>28</v>
      </c>
      <c r="AB19" s="22"/>
      <c r="AC19" s="22"/>
      <c r="AD19" s="22"/>
      <c r="AE19" s="141">
        <f>$L$104</f>
        <v>0</v>
      </c>
      <c r="AF19" s="40"/>
      <c r="AG19" s="142">
        <f>IF($AE$19&lt;5,0,(ROUND(($AG$13*AE19)/100,0)))</f>
        <v>0</v>
      </c>
      <c r="AH19" s="22" t="s">
        <v>62</v>
      </c>
      <c r="AI19" s="30"/>
      <c r="AJ19" s="27"/>
      <c r="AK19" s="99">
        <v>0</v>
      </c>
    </row>
    <row r="20" spans="1:37" ht="22.5" x14ac:dyDescent="0.25">
      <c r="A20" s="100"/>
      <c r="B20" s="101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4">
        <f t="shared" si="0"/>
        <v>0</v>
      </c>
      <c r="AA20" s="26" t="s">
        <v>20</v>
      </c>
      <c r="AB20" s="27"/>
      <c r="AC20" s="22"/>
      <c r="AD20" s="22"/>
      <c r="AE20" s="25" t="e">
        <f>$F$106</f>
        <v>#DIV/0!</v>
      </c>
      <c r="AF20" s="24"/>
      <c r="AG20" s="25" t="e">
        <f>AG21+AG22</f>
        <v>#DIV/0!</v>
      </c>
      <c r="AH20" s="22" t="s">
        <v>61</v>
      </c>
      <c r="AI20" s="25"/>
      <c r="AJ20" s="27"/>
      <c r="AK20" s="99">
        <v>1</v>
      </c>
    </row>
    <row r="21" spans="1:37" ht="22.5" x14ac:dyDescent="0.25">
      <c r="A21" s="100"/>
      <c r="B21" s="101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4">
        <f t="shared" si="0"/>
        <v>0</v>
      </c>
      <c r="AA21" s="27" t="s">
        <v>42</v>
      </c>
      <c r="AB21" s="27"/>
      <c r="AC21" s="22"/>
      <c r="AD21" s="22"/>
      <c r="AE21" s="25" t="e">
        <f>$F$104</f>
        <v>#DIV/0!</v>
      </c>
      <c r="AF21" s="24"/>
      <c r="AG21" s="25" t="e">
        <f>ROUND(($AG$13*AE21)/100,1)</f>
        <v>#DIV/0!</v>
      </c>
      <c r="AH21" s="22" t="s">
        <v>61</v>
      </c>
      <c r="AI21" s="30"/>
      <c r="AJ21" s="27"/>
      <c r="AK21" s="99">
        <v>1</v>
      </c>
    </row>
    <row r="22" spans="1:37" ht="22.5" x14ac:dyDescent="0.25">
      <c r="A22" s="100"/>
      <c r="B22" s="101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4">
        <f t="shared" si="0"/>
        <v>0</v>
      </c>
      <c r="AA22" s="85" t="s">
        <v>43</v>
      </c>
      <c r="AB22" s="27"/>
      <c r="AC22" s="86"/>
      <c r="AD22" s="22"/>
      <c r="AE22" s="25">
        <f>$G$104</f>
        <v>0</v>
      </c>
      <c r="AF22" s="24"/>
      <c r="AG22" s="25">
        <f>ROUND(($AG$13*AE22)/100,1)</f>
        <v>0</v>
      </c>
      <c r="AH22" s="86" t="s">
        <v>61</v>
      </c>
      <c r="AI22" s="30"/>
      <c r="AJ22" s="27"/>
      <c r="AK22" s="99">
        <v>1</v>
      </c>
    </row>
    <row r="23" spans="1:37" ht="22.5" x14ac:dyDescent="0.25">
      <c r="A23" s="100"/>
      <c r="B23" s="101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4">
        <f t="shared" ref="M23:M37" si="1">SUM(C23:H23)</f>
        <v>0</v>
      </c>
      <c r="AA23" s="26" t="s">
        <v>21</v>
      </c>
      <c r="AB23" s="27"/>
      <c r="AC23" s="22"/>
      <c r="AD23" s="22"/>
      <c r="AE23" s="155">
        <f>ROUND($AE$25/1000*2.54,1)</f>
        <v>0</v>
      </c>
      <c r="AF23" s="24"/>
      <c r="AG23" s="155">
        <f>ROUND($AG$25/1000*2.54,1)</f>
        <v>0</v>
      </c>
      <c r="AH23" s="22" t="s">
        <v>61</v>
      </c>
      <c r="AI23" s="23"/>
      <c r="AJ23" s="27"/>
      <c r="AK23" s="99">
        <f>IF(COUNTIF($AG$25,"&lt;4.5"),0,2)</f>
        <v>0</v>
      </c>
    </row>
    <row r="24" spans="1:37" ht="22.5" x14ac:dyDescent="0.25">
      <c r="A24" s="100"/>
      <c r="B24" s="101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4">
        <f t="shared" si="1"/>
        <v>0</v>
      </c>
      <c r="AA24" s="26"/>
      <c r="AB24" s="27"/>
      <c r="AC24" s="22"/>
      <c r="AD24" s="22"/>
      <c r="AE24" s="30"/>
      <c r="AF24" s="24"/>
      <c r="AG24" s="30"/>
      <c r="AH24" s="22"/>
      <c r="AI24" s="34"/>
      <c r="AJ24" s="30"/>
    </row>
    <row r="25" spans="1:37" ht="22.7" customHeight="1" x14ac:dyDescent="0.25">
      <c r="A25" s="100"/>
      <c r="B25" s="101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4">
        <f t="shared" si="1"/>
        <v>0</v>
      </c>
      <c r="AA25" s="26" t="s">
        <v>22</v>
      </c>
      <c r="AB25" s="27"/>
      <c r="AC25" s="22"/>
      <c r="AD25" s="22"/>
      <c r="AE25" s="23">
        <f>$I$104</f>
        <v>0</v>
      </c>
      <c r="AF25" s="24"/>
      <c r="AG25" s="23">
        <f>ROUND(($AG$13*AE25)/100,0)</f>
        <v>0</v>
      </c>
      <c r="AH25" s="22" t="s">
        <v>62</v>
      </c>
      <c r="AI25" s="34"/>
      <c r="AJ25" s="32"/>
    </row>
    <row r="26" spans="1:37" ht="22.5" x14ac:dyDescent="0.25">
      <c r="A26" s="100"/>
      <c r="B26" s="101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4">
        <f t="shared" si="1"/>
        <v>0</v>
      </c>
      <c r="AA26" s="26" t="s">
        <v>23</v>
      </c>
      <c r="AB26" s="32"/>
      <c r="AC26" s="33"/>
      <c r="AD26" s="33"/>
      <c r="AE26" s="34">
        <f>$C$104</f>
        <v>0</v>
      </c>
      <c r="AF26" s="35"/>
      <c r="AG26" s="36">
        <f>ROUND(($AG$13*AE26)/100,1)</f>
        <v>0</v>
      </c>
      <c r="AH26" s="33" t="s">
        <v>61</v>
      </c>
      <c r="AI26" s="30"/>
      <c r="AJ26" s="27"/>
    </row>
    <row r="27" spans="1:37" ht="22.5" x14ac:dyDescent="0.25">
      <c r="A27" s="100"/>
      <c r="B27" s="101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4">
        <f t="shared" si="1"/>
        <v>0</v>
      </c>
      <c r="AA27" s="26" t="s">
        <v>26</v>
      </c>
      <c r="AB27" s="32"/>
      <c r="AC27" s="33"/>
      <c r="AD27" s="33"/>
      <c r="AE27" s="34">
        <f>$H$104</f>
        <v>0</v>
      </c>
      <c r="AF27" s="35"/>
      <c r="AG27" s="36">
        <f>ROUND(($AG$13*AE27)/100,1)</f>
        <v>0</v>
      </c>
      <c r="AH27" s="33" t="s">
        <v>61</v>
      </c>
      <c r="AI27" s="30"/>
      <c r="AJ27" s="27"/>
    </row>
    <row r="28" spans="1:37" x14ac:dyDescent="0.2">
      <c r="A28" s="100"/>
      <c r="B28" s="101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4">
        <f>SUM(C28:H28)</f>
        <v>0</v>
      </c>
    </row>
    <row r="29" spans="1:37" x14ac:dyDescent="0.2">
      <c r="A29" s="100"/>
      <c r="B29" s="101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4">
        <f>SUM(C29:H29)</f>
        <v>0</v>
      </c>
      <c r="O29" s="43"/>
      <c r="P29" s="44"/>
    </row>
    <row r="30" spans="1:37" x14ac:dyDescent="0.2">
      <c r="A30" s="100"/>
      <c r="B30" s="101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4">
        <f>SUM(C30:H30)</f>
        <v>0</v>
      </c>
      <c r="O30" s="46"/>
      <c r="P30" s="44"/>
    </row>
    <row r="31" spans="1:37" ht="18" x14ac:dyDescent="0.2">
      <c r="A31" s="100"/>
      <c r="B31" s="101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4">
        <f>SUM(C31:H31)</f>
        <v>0</v>
      </c>
      <c r="N31" s="42"/>
      <c r="P31" s="44"/>
      <c r="AA31" s="170" t="s">
        <v>66</v>
      </c>
      <c r="AB31" s="170"/>
      <c r="AC31" s="170"/>
      <c r="AD31" s="170"/>
      <c r="AE31" s="170"/>
      <c r="AF31" s="170"/>
      <c r="AG31" s="170"/>
      <c r="AH31" s="170"/>
      <c r="AI31" s="170"/>
      <c r="AJ31" s="170"/>
    </row>
    <row r="32" spans="1:37" x14ac:dyDescent="0.2">
      <c r="A32" s="100"/>
      <c r="B32" s="101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4">
        <f>SUM(C32:H32)</f>
        <v>0</v>
      </c>
      <c r="N32" s="42"/>
      <c r="P32" s="44"/>
      <c r="AB32" s="5"/>
      <c r="AC32" s="5"/>
      <c r="AD32" s="5"/>
      <c r="AE32" s="5"/>
      <c r="AF32" s="5"/>
      <c r="AG32" s="5"/>
      <c r="AH32" s="5"/>
      <c r="AI32" s="5"/>
      <c r="AJ32" s="5"/>
      <c r="AK32" s="56"/>
    </row>
    <row r="33" spans="1:37" x14ac:dyDescent="0.2">
      <c r="A33" s="100"/>
      <c r="B33" s="101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4">
        <f t="shared" si="1"/>
        <v>0</v>
      </c>
      <c r="P33" s="44"/>
      <c r="AB33" s="5"/>
      <c r="AC33" s="5"/>
      <c r="AD33" s="5"/>
      <c r="AE33" s="5"/>
      <c r="AF33" s="5"/>
      <c r="AG33" s="5"/>
      <c r="AH33" s="5"/>
      <c r="AI33" s="5"/>
      <c r="AJ33" s="5"/>
      <c r="AK33" s="57"/>
    </row>
    <row r="34" spans="1:37" x14ac:dyDescent="0.2">
      <c r="A34" s="100"/>
      <c r="B34" s="101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4">
        <f t="shared" si="1"/>
        <v>0</v>
      </c>
      <c r="O34" s="43"/>
      <c r="P34" s="44"/>
      <c r="AB34" s="5"/>
      <c r="AH34" s="5"/>
      <c r="AI34" s="47"/>
      <c r="AJ34" s="47"/>
    </row>
    <row r="35" spans="1:37" ht="21" x14ac:dyDescent="0.2">
      <c r="A35" s="100"/>
      <c r="B35" s="101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4">
        <f t="shared" si="1"/>
        <v>0</v>
      </c>
      <c r="O35" s="46"/>
      <c r="P35" s="44"/>
      <c r="AA35" s="5"/>
      <c r="AB35" s="5"/>
      <c r="AC35" s="96" t="s">
        <v>29</v>
      </c>
      <c r="AD35" s="96"/>
      <c r="AE35" s="45">
        <f>$B$101</f>
        <v>0</v>
      </c>
      <c r="AF35" s="11" t="s">
        <v>30</v>
      </c>
      <c r="AG35" s="5"/>
      <c r="AH35" s="5"/>
    </row>
    <row r="36" spans="1:37" ht="21" x14ac:dyDescent="0.2">
      <c r="A36" s="100"/>
      <c r="B36" s="101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4">
        <f t="shared" si="1"/>
        <v>0</v>
      </c>
      <c r="N36" s="42"/>
      <c r="O36" s="46"/>
      <c r="P36" s="44"/>
      <c r="AA36" s="41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2"/>
      <c r="AC36" s="46"/>
      <c r="AD36" s="44"/>
      <c r="AE36" s="5"/>
      <c r="AF36" s="5"/>
      <c r="AG36" s="11"/>
      <c r="AH36" s="5"/>
    </row>
    <row r="37" spans="1:37" x14ac:dyDescent="0.2">
      <c r="A37" s="100"/>
      <c r="B37" s="101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4">
        <f t="shared" si="1"/>
        <v>0</v>
      </c>
      <c r="N37" s="42"/>
      <c r="O37" s="46"/>
      <c r="AA37" s="117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2"/>
      <c r="AC37" s="46"/>
      <c r="AD37" s="44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56"/>
      <c r="K38" s="6"/>
      <c r="L38" s="31"/>
      <c r="N38" s="42"/>
      <c r="O38" s="49"/>
      <c r="AA38" s="41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2"/>
      <c r="AC38" s="46"/>
      <c r="AD38" s="44"/>
      <c r="AI38" s="56"/>
      <c r="AJ38" s="56"/>
    </row>
    <row r="39" spans="1:37" x14ac:dyDescent="0.2">
      <c r="A39" s="125" t="s">
        <v>24</v>
      </c>
      <c r="B39" s="125" t="s">
        <v>19</v>
      </c>
      <c r="C39" s="125" t="s">
        <v>4</v>
      </c>
      <c r="D39" s="125" t="s">
        <v>5</v>
      </c>
      <c r="E39" s="125" t="s">
        <v>6</v>
      </c>
      <c r="F39" s="125" t="s">
        <v>7</v>
      </c>
      <c r="G39" s="125" t="s">
        <v>8</v>
      </c>
      <c r="H39" s="125" t="s">
        <v>9</v>
      </c>
      <c r="I39" s="126" t="s">
        <v>25</v>
      </c>
      <c r="J39" s="127" t="s">
        <v>11</v>
      </c>
      <c r="K39" s="128" t="s">
        <v>12</v>
      </c>
      <c r="L39" s="129" t="s">
        <v>13</v>
      </c>
      <c r="O39" s="46"/>
      <c r="AA39" s="42"/>
      <c r="AB39" s="42"/>
      <c r="AC39" s="49"/>
      <c r="AD39" s="44"/>
      <c r="AI39" s="56"/>
      <c r="AJ39" s="56"/>
    </row>
    <row r="40" spans="1:37" x14ac:dyDescent="0.2">
      <c r="A40" s="28" t="s">
        <v>27</v>
      </c>
      <c r="B40" s="93">
        <v>100</v>
      </c>
      <c r="C40" s="37"/>
      <c r="D40" s="37"/>
      <c r="E40" s="37"/>
      <c r="F40" s="37"/>
      <c r="G40" s="37"/>
      <c r="H40" s="37"/>
      <c r="I40" s="38"/>
      <c r="J40" s="29"/>
      <c r="K40" s="84"/>
      <c r="L40" s="10"/>
      <c r="M40" s="4">
        <f t="shared" ref="M40:M49" si="2">SUM(C40:H40)</f>
        <v>0</v>
      </c>
      <c r="O40" s="46"/>
      <c r="AA40" s="55"/>
      <c r="AI40" s="56"/>
      <c r="AJ40" s="56"/>
    </row>
    <row r="41" spans="1:37" x14ac:dyDescent="0.2">
      <c r="A41" s="100"/>
      <c r="B41" s="101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4">
        <f t="shared" si="2"/>
        <v>0</v>
      </c>
      <c r="O41" s="49"/>
      <c r="AA41" s="55"/>
      <c r="AI41" s="57"/>
      <c r="AJ41" s="57"/>
    </row>
    <row r="42" spans="1:37" x14ac:dyDescent="0.2">
      <c r="A42" s="100"/>
      <c r="B42" s="101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4">
        <f t="shared" si="2"/>
        <v>0</v>
      </c>
      <c r="Y42" s="97"/>
      <c r="Z42" s="131"/>
      <c r="AA42" s="98"/>
      <c r="AB42" s="97"/>
      <c r="AC42" s="97"/>
      <c r="AD42" s="97"/>
      <c r="AE42" s="97"/>
    </row>
    <row r="43" spans="1:37" x14ac:dyDescent="0.2">
      <c r="A43" s="100"/>
      <c r="B43" s="101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4">
        <f t="shared" si="2"/>
        <v>0</v>
      </c>
      <c r="Y43" s="97"/>
      <c r="Z43" s="131"/>
      <c r="AA43" s="97"/>
      <c r="AB43" s="97"/>
      <c r="AC43" s="97"/>
      <c r="AD43" s="97"/>
      <c r="AE43" s="97"/>
    </row>
    <row r="44" spans="1:37" x14ac:dyDescent="0.2">
      <c r="A44" s="100"/>
      <c r="B44" s="101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4">
        <f t="shared" si="2"/>
        <v>0</v>
      </c>
      <c r="Y44" s="97"/>
      <c r="Z44" s="131"/>
      <c r="AA44" s="97"/>
      <c r="AB44" s="97"/>
      <c r="AC44" s="97"/>
      <c r="AD44" s="97"/>
      <c r="AE44" s="97"/>
    </row>
    <row r="45" spans="1:37" x14ac:dyDescent="0.2">
      <c r="A45" s="100"/>
      <c r="B45" s="101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4">
        <f t="shared" si="2"/>
        <v>0</v>
      </c>
      <c r="Y45" s="97"/>
      <c r="Z45" s="131"/>
      <c r="AA45" s="42"/>
      <c r="AB45" s="42"/>
      <c r="AC45" s="43"/>
      <c r="AD45" s="44"/>
      <c r="AE45" s="97"/>
    </row>
    <row r="46" spans="1:37" x14ac:dyDescent="0.2">
      <c r="A46" s="100"/>
      <c r="B46" s="101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4">
        <f t="shared" si="2"/>
        <v>0</v>
      </c>
      <c r="Y46" s="97"/>
      <c r="Z46" s="131"/>
      <c r="AA46" s="42"/>
      <c r="AB46" s="42"/>
      <c r="AC46" s="46"/>
      <c r="AD46" s="44"/>
      <c r="AE46" s="97"/>
    </row>
    <row r="47" spans="1:37" x14ac:dyDescent="0.2">
      <c r="A47" s="100"/>
      <c r="B47" s="101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4">
        <f t="shared" si="2"/>
        <v>0</v>
      </c>
      <c r="Y47" s="97"/>
      <c r="Z47" s="131"/>
      <c r="AA47" s="42"/>
      <c r="AB47" s="42"/>
      <c r="AC47" s="46"/>
      <c r="AD47" s="44"/>
      <c r="AE47" s="97"/>
    </row>
    <row r="48" spans="1:37" x14ac:dyDescent="0.2">
      <c r="A48" s="100"/>
      <c r="B48" s="101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4">
        <f t="shared" si="2"/>
        <v>0</v>
      </c>
      <c r="Y48" s="97"/>
      <c r="Z48" s="131"/>
      <c r="AA48" s="42"/>
      <c r="AB48" s="42"/>
      <c r="AC48" s="46"/>
      <c r="AD48" s="44"/>
      <c r="AE48" s="97"/>
    </row>
    <row r="49" spans="1:31" x14ac:dyDescent="0.2">
      <c r="A49" s="100"/>
      <c r="B49" s="101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4">
        <f t="shared" si="2"/>
        <v>0</v>
      </c>
      <c r="Y49" s="97"/>
      <c r="Z49" s="131"/>
      <c r="AA49" s="42"/>
      <c r="AB49" s="42"/>
      <c r="AC49" s="49"/>
      <c r="AD49" s="44"/>
      <c r="AE49" s="97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57"/>
      <c r="K50" s="7"/>
      <c r="L50" s="48"/>
      <c r="Y50" s="97"/>
      <c r="Z50" s="131"/>
      <c r="AA50" s="42"/>
      <c r="AB50" s="42"/>
      <c r="AC50" s="49"/>
      <c r="AD50" s="44"/>
      <c r="AE50" s="97"/>
    </row>
    <row r="51" spans="1:31" x14ac:dyDescent="0.2">
      <c r="A51" s="50" t="s">
        <v>31</v>
      </c>
      <c r="B51" s="6"/>
      <c r="C51" s="50" t="s">
        <v>31</v>
      </c>
      <c r="D51" s="50" t="s">
        <v>31</v>
      </c>
      <c r="E51" s="6"/>
      <c r="F51" s="6"/>
      <c r="G51" s="6"/>
      <c r="H51" s="6"/>
      <c r="I51" s="6"/>
      <c r="J51" s="6"/>
      <c r="K51" s="6"/>
      <c r="L51" s="51"/>
      <c r="Y51" s="97"/>
      <c r="Z51" s="131"/>
      <c r="AA51" s="42"/>
      <c r="AB51" s="42"/>
      <c r="AC51" s="49"/>
      <c r="AD51" s="44"/>
      <c r="AE51" s="97"/>
    </row>
    <row r="52" spans="1:31" x14ac:dyDescent="0.2">
      <c r="A52" s="125" t="s">
        <v>2</v>
      </c>
      <c r="B52" s="125" t="s">
        <v>32</v>
      </c>
      <c r="C52" s="125" t="s">
        <v>4</v>
      </c>
      <c r="D52" s="125" t="s">
        <v>5</v>
      </c>
      <c r="E52" s="125" t="s">
        <v>6</v>
      </c>
      <c r="F52" s="125" t="s">
        <v>7</v>
      </c>
      <c r="G52" s="125" t="s">
        <v>8</v>
      </c>
      <c r="H52" s="125" t="s">
        <v>9</v>
      </c>
      <c r="I52" s="126" t="s">
        <v>25</v>
      </c>
      <c r="J52" s="127" t="s">
        <v>11</v>
      </c>
      <c r="K52" s="128" t="s">
        <v>12</v>
      </c>
      <c r="L52" s="129" t="s">
        <v>13</v>
      </c>
      <c r="Y52" s="97"/>
      <c r="Z52" s="131"/>
      <c r="AA52" s="42"/>
      <c r="AB52" s="42"/>
      <c r="AC52" s="43"/>
      <c r="AD52" s="44"/>
      <c r="AE52" s="97"/>
    </row>
    <row r="53" spans="1:31" x14ac:dyDescent="0.2">
      <c r="A53" s="100" t="str">
        <f>IF(A8="","",A8)</f>
        <v/>
      </c>
      <c r="B53" s="132" t="str">
        <f>IF(B8="","",B8)</f>
        <v/>
      </c>
      <c r="C53" s="52">
        <f>C8*B53/100</f>
        <v>0</v>
      </c>
      <c r="D53" s="52">
        <f>D8*B53/100</f>
        <v>0</v>
      </c>
      <c r="E53" s="52">
        <f>E8*B53/100</f>
        <v>0</v>
      </c>
      <c r="F53" s="52">
        <f>F8*B53/100</f>
        <v>0</v>
      </c>
      <c r="G53" s="52">
        <f>G8*B53/100</f>
        <v>0</v>
      </c>
      <c r="H53" s="52">
        <f>H8*B53/100</f>
        <v>0</v>
      </c>
      <c r="I53" s="53">
        <f>I8*B53/100</f>
        <v>0</v>
      </c>
      <c r="J53" s="53">
        <f>J8*B53/100</f>
        <v>0</v>
      </c>
      <c r="K53" s="53">
        <f>K8*B53/100</f>
        <v>0</v>
      </c>
      <c r="L53" s="54">
        <f>L8*B53/100</f>
        <v>0</v>
      </c>
      <c r="N53" s="4" t="str">
        <f>IF(N8="","",N8)</f>
        <v/>
      </c>
      <c r="Y53" s="97"/>
      <c r="Z53" s="131"/>
      <c r="AA53" s="97"/>
      <c r="AB53" s="97"/>
      <c r="AC53" s="97"/>
      <c r="AD53" s="97"/>
      <c r="AE53" s="97"/>
    </row>
    <row r="54" spans="1:31" x14ac:dyDescent="0.2">
      <c r="A54" s="100" t="str">
        <f t="shared" ref="A54:B54" si="3">IF(A9="","",A9)</f>
        <v/>
      </c>
      <c r="B54" s="132" t="str">
        <f t="shared" si="3"/>
        <v/>
      </c>
      <c r="C54" s="52">
        <f t="shared" ref="C54:C81" si="4">C9*B54/100</f>
        <v>0</v>
      </c>
      <c r="D54" s="52">
        <f t="shared" ref="D54:D82" si="5">D9*B54/100</f>
        <v>0</v>
      </c>
      <c r="E54" s="52">
        <f t="shared" ref="E54:E82" si="6">E9*B54/100</f>
        <v>0</v>
      </c>
      <c r="F54" s="52">
        <f t="shared" ref="F54:F82" si="7">F9*B54/100</f>
        <v>0</v>
      </c>
      <c r="G54" s="52">
        <f t="shared" ref="G54:G82" si="8">G9*B54/100</f>
        <v>0</v>
      </c>
      <c r="H54" s="52">
        <f t="shared" ref="H54:H82" si="9">H9*B54/100</f>
        <v>0</v>
      </c>
      <c r="I54" s="53">
        <f t="shared" ref="I54:I82" si="10">I9*B54/100</f>
        <v>0</v>
      </c>
      <c r="J54" s="53">
        <f t="shared" ref="J54:J82" si="11">J9*B54/100</f>
        <v>0</v>
      </c>
      <c r="K54" s="53">
        <f t="shared" ref="K54:K82" si="12">K9*B54/100</f>
        <v>0</v>
      </c>
      <c r="L54" s="54">
        <f t="shared" ref="L54:L82" si="13">L9*B54/100</f>
        <v>0</v>
      </c>
      <c r="N54" s="4" t="str">
        <f>IF(N9="","",N9)</f>
        <v/>
      </c>
      <c r="Y54" s="97"/>
      <c r="Z54" s="131"/>
      <c r="AA54" s="97"/>
      <c r="AB54" s="97"/>
      <c r="AC54" s="97"/>
      <c r="AD54" s="97"/>
      <c r="AE54" s="97"/>
    </row>
    <row r="55" spans="1:31" x14ac:dyDescent="0.2">
      <c r="A55" s="100" t="str">
        <f t="shared" ref="A55:B55" si="14">IF(A10="","",A10)</f>
        <v/>
      </c>
      <c r="B55" s="132" t="str">
        <f t="shared" si="14"/>
        <v/>
      </c>
      <c r="C55" s="52">
        <f t="shared" si="4"/>
        <v>0</v>
      </c>
      <c r="D55" s="52">
        <f t="shared" si="5"/>
        <v>0</v>
      </c>
      <c r="E55" s="52">
        <f t="shared" si="6"/>
        <v>0</v>
      </c>
      <c r="F55" s="52">
        <f t="shared" si="7"/>
        <v>0</v>
      </c>
      <c r="G55" s="52">
        <f t="shared" si="8"/>
        <v>0</v>
      </c>
      <c r="H55" s="52">
        <f t="shared" si="9"/>
        <v>0</v>
      </c>
      <c r="I55" s="53">
        <f t="shared" si="10"/>
        <v>0</v>
      </c>
      <c r="J55" s="53">
        <f t="shared" si="11"/>
        <v>0</v>
      </c>
      <c r="K55" s="53">
        <f t="shared" si="12"/>
        <v>0</v>
      </c>
      <c r="L55" s="54">
        <f t="shared" si="13"/>
        <v>0</v>
      </c>
      <c r="N55" s="4" t="str">
        <f>IF(N10="","",N10)</f>
        <v/>
      </c>
    </row>
    <row r="56" spans="1:31" x14ac:dyDescent="0.2">
      <c r="A56" s="100" t="str">
        <f t="shared" ref="A56:B56" si="15">IF(A11="","",A11)</f>
        <v/>
      </c>
      <c r="B56" s="132" t="str">
        <f t="shared" si="15"/>
        <v/>
      </c>
      <c r="C56" s="52">
        <f t="shared" si="4"/>
        <v>0</v>
      </c>
      <c r="D56" s="52">
        <f t="shared" si="5"/>
        <v>0</v>
      </c>
      <c r="E56" s="52">
        <f t="shared" si="6"/>
        <v>0</v>
      </c>
      <c r="F56" s="52">
        <f t="shared" si="7"/>
        <v>0</v>
      </c>
      <c r="G56" s="52">
        <f t="shared" si="8"/>
        <v>0</v>
      </c>
      <c r="H56" s="52">
        <f t="shared" si="9"/>
        <v>0</v>
      </c>
      <c r="I56" s="53">
        <f t="shared" si="10"/>
        <v>0</v>
      </c>
      <c r="J56" s="53">
        <f t="shared" si="11"/>
        <v>0</v>
      </c>
      <c r="K56" s="53">
        <f t="shared" si="12"/>
        <v>0</v>
      </c>
      <c r="L56" s="54">
        <f t="shared" si="13"/>
        <v>0</v>
      </c>
      <c r="N56" s="4" t="str">
        <f t="shared" ref="N56:N82" si="16">IF(N11="","",N11)</f>
        <v/>
      </c>
    </row>
    <row r="57" spans="1:31" x14ac:dyDescent="0.2">
      <c r="A57" s="100" t="str">
        <f t="shared" ref="A57:B57" si="17">IF(A12="","",A12)</f>
        <v/>
      </c>
      <c r="B57" s="132" t="str">
        <f t="shared" si="17"/>
        <v/>
      </c>
      <c r="C57" s="52">
        <f t="shared" si="4"/>
        <v>0</v>
      </c>
      <c r="D57" s="52">
        <f t="shared" si="5"/>
        <v>0</v>
      </c>
      <c r="E57" s="52">
        <f t="shared" si="6"/>
        <v>0</v>
      </c>
      <c r="F57" s="52">
        <f t="shared" si="7"/>
        <v>0</v>
      </c>
      <c r="G57" s="52">
        <f t="shared" si="8"/>
        <v>0</v>
      </c>
      <c r="H57" s="52">
        <f t="shared" si="9"/>
        <v>0</v>
      </c>
      <c r="I57" s="53">
        <f t="shared" si="10"/>
        <v>0</v>
      </c>
      <c r="J57" s="53">
        <f t="shared" si="11"/>
        <v>0</v>
      </c>
      <c r="K57" s="53">
        <f t="shared" si="12"/>
        <v>0</v>
      </c>
      <c r="L57" s="54">
        <f t="shared" si="13"/>
        <v>0</v>
      </c>
      <c r="N57" s="4" t="str">
        <f t="shared" si="16"/>
        <v/>
      </c>
    </row>
    <row r="58" spans="1:31" x14ac:dyDescent="0.2">
      <c r="A58" s="100" t="str">
        <f t="shared" ref="A58:B58" si="18">IF(A13="","",A13)</f>
        <v/>
      </c>
      <c r="B58" s="132" t="str">
        <f t="shared" si="18"/>
        <v/>
      </c>
      <c r="C58" s="52">
        <f t="shared" si="4"/>
        <v>0</v>
      </c>
      <c r="D58" s="52">
        <f t="shared" si="5"/>
        <v>0</v>
      </c>
      <c r="E58" s="52">
        <f t="shared" si="6"/>
        <v>0</v>
      </c>
      <c r="F58" s="52">
        <f t="shared" si="7"/>
        <v>0</v>
      </c>
      <c r="G58" s="52">
        <f t="shared" si="8"/>
        <v>0</v>
      </c>
      <c r="H58" s="52">
        <f t="shared" si="9"/>
        <v>0</v>
      </c>
      <c r="I58" s="53">
        <f t="shared" si="10"/>
        <v>0</v>
      </c>
      <c r="J58" s="53">
        <f t="shared" si="11"/>
        <v>0</v>
      </c>
      <c r="K58" s="53">
        <f t="shared" si="12"/>
        <v>0</v>
      </c>
      <c r="L58" s="54">
        <f t="shared" si="13"/>
        <v>0</v>
      </c>
      <c r="N58" s="4" t="str">
        <f t="shared" si="16"/>
        <v/>
      </c>
      <c r="AA58" s="87"/>
    </row>
    <row r="59" spans="1:31" x14ac:dyDescent="0.2">
      <c r="A59" s="100" t="str">
        <f t="shared" ref="A59:B59" si="19">IF(A14="","",A14)</f>
        <v/>
      </c>
      <c r="B59" s="132" t="str">
        <f t="shared" si="19"/>
        <v/>
      </c>
      <c r="C59" s="52">
        <f t="shared" si="4"/>
        <v>0</v>
      </c>
      <c r="D59" s="52">
        <f t="shared" si="5"/>
        <v>0</v>
      </c>
      <c r="E59" s="52">
        <f t="shared" si="6"/>
        <v>0</v>
      </c>
      <c r="F59" s="52">
        <f t="shared" si="7"/>
        <v>0</v>
      </c>
      <c r="G59" s="52">
        <f t="shared" si="8"/>
        <v>0</v>
      </c>
      <c r="H59" s="52">
        <f t="shared" si="9"/>
        <v>0</v>
      </c>
      <c r="I59" s="53">
        <f t="shared" si="10"/>
        <v>0</v>
      </c>
      <c r="J59" s="53">
        <f t="shared" si="11"/>
        <v>0</v>
      </c>
      <c r="K59" s="53">
        <f t="shared" si="12"/>
        <v>0</v>
      </c>
      <c r="L59" s="54">
        <f t="shared" si="13"/>
        <v>0</v>
      </c>
      <c r="N59" s="4" t="str">
        <f t="shared" si="16"/>
        <v/>
      </c>
      <c r="AA59" s="41"/>
    </row>
    <row r="60" spans="1:31" x14ac:dyDescent="0.2">
      <c r="A60" s="100" t="str">
        <f t="shared" ref="A60:B60" si="20">IF(A15="","",A15)</f>
        <v/>
      </c>
      <c r="B60" s="132" t="str">
        <f t="shared" si="20"/>
        <v/>
      </c>
      <c r="C60" s="52">
        <f t="shared" si="4"/>
        <v>0</v>
      </c>
      <c r="D60" s="52">
        <f t="shared" si="5"/>
        <v>0</v>
      </c>
      <c r="E60" s="52">
        <f t="shared" si="6"/>
        <v>0</v>
      </c>
      <c r="F60" s="52">
        <f t="shared" si="7"/>
        <v>0</v>
      </c>
      <c r="G60" s="52">
        <f t="shared" si="8"/>
        <v>0</v>
      </c>
      <c r="H60" s="52">
        <f t="shared" si="9"/>
        <v>0</v>
      </c>
      <c r="I60" s="53">
        <f t="shared" si="10"/>
        <v>0</v>
      </c>
      <c r="J60" s="53">
        <f t="shared" si="11"/>
        <v>0</v>
      </c>
      <c r="K60" s="53">
        <f t="shared" si="12"/>
        <v>0</v>
      </c>
      <c r="L60" s="54">
        <f t="shared" si="13"/>
        <v>0</v>
      </c>
      <c r="N60" s="4" t="str">
        <f t="shared" si="16"/>
        <v/>
      </c>
      <c r="AA60" s="89" t="s">
        <v>44</v>
      </c>
    </row>
    <row r="61" spans="1:31" x14ac:dyDescent="0.2">
      <c r="A61" s="100" t="str">
        <f t="shared" ref="A61:B61" si="21">IF(A16="","",A16)</f>
        <v/>
      </c>
      <c r="B61" s="132" t="str">
        <f t="shared" si="21"/>
        <v/>
      </c>
      <c r="C61" s="52">
        <f t="shared" si="4"/>
        <v>0</v>
      </c>
      <c r="D61" s="52">
        <f t="shared" si="5"/>
        <v>0</v>
      </c>
      <c r="E61" s="52">
        <f t="shared" si="6"/>
        <v>0</v>
      </c>
      <c r="F61" s="52">
        <f t="shared" si="7"/>
        <v>0</v>
      </c>
      <c r="G61" s="52">
        <f t="shared" si="8"/>
        <v>0</v>
      </c>
      <c r="H61" s="52">
        <f t="shared" si="9"/>
        <v>0</v>
      </c>
      <c r="I61" s="53">
        <f t="shared" si="10"/>
        <v>0</v>
      </c>
      <c r="J61" s="53">
        <f t="shared" si="11"/>
        <v>0</v>
      </c>
      <c r="K61" s="53">
        <f t="shared" si="12"/>
        <v>0</v>
      </c>
      <c r="L61" s="54">
        <f t="shared" si="13"/>
        <v>0</v>
      </c>
      <c r="N61" s="4" t="str">
        <f t="shared" si="16"/>
        <v/>
      </c>
      <c r="AA61" s="118" t="s">
        <v>54</v>
      </c>
    </row>
    <row r="62" spans="1:31" x14ac:dyDescent="0.2">
      <c r="A62" s="100" t="str">
        <f t="shared" ref="A62:B62" si="22">IF(A17="","",A17)</f>
        <v/>
      </c>
      <c r="B62" s="132" t="str">
        <f t="shared" si="22"/>
        <v/>
      </c>
      <c r="C62" s="52">
        <f t="shared" si="4"/>
        <v>0</v>
      </c>
      <c r="D62" s="52">
        <f t="shared" si="5"/>
        <v>0</v>
      </c>
      <c r="E62" s="52">
        <f t="shared" si="6"/>
        <v>0</v>
      </c>
      <c r="F62" s="52">
        <f t="shared" si="7"/>
        <v>0</v>
      </c>
      <c r="G62" s="52">
        <f t="shared" si="8"/>
        <v>0</v>
      </c>
      <c r="H62" s="52">
        <f t="shared" si="9"/>
        <v>0</v>
      </c>
      <c r="I62" s="53">
        <f t="shared" si="10"/>
        <v>0</v>
      </c>
      <c r="J62" s="53">
        <f t="shared" si="11"/>
        <v>0</v>
      </c>
      <c r="K62" s="53">
        <f t="shared" si="12"/>
        <v>0</v>
      </c>
      <c r="L62" s="54">
        <f t="shared" si="13"/>
        <v>0</v>
      </c>
      <c r="N62" s="4" t="str">
        <f t="shared" si="16"/>
        <v/>
      </c>
      <c r="AA62" s="90" t="s">
        <v>55</v>
      </c>
    </row>
    <row r="63" spans="1:31" x14ac:dyDescent="0.2">
      <c r="A63" s="100" t="str">
        <f t="shared" ref="A63:B63" si="23">IF(A18="","",A18)</f>
        <v/>
      </c>
      <c r="B63" s="132" t="str">
        <f t="shared" si="23"/>
        <v/>
      </c>
      <c r="C63" s="52">
        <f t="shared" si="4"/>
        <v>0</v>
      </c>
      <c r="D63" s="52">
        <f t="shared" si="5"/>
        <v>0</v>
      </c>
      <c r="E63" s="52">
        <f t="shared" si="6"/>
        <v>0</v>
      </c>
      <c r="F63" s="52">
        <f t="shared" si="7"/>
        <v>0</v>
      </c>
      <c r="G63" s="52">
        <f t="shared" si="8"/>
        <v>0</v>
      </c>
      <c r="H63" s="52">
        <f t="shared" si="9"/>
        <v>0</v>
      </c>
      <c r="I63" s="53">
        <f t="shared" si="10"/>
        <v>0</v>
      </c>
      <c r="J63" s="53">
        <f t="shared" si="11"/>
        <v>0</v>
      </c>
      <c r="K63" s="53">
        <f t="shared" si="12"/>
        <v>0</v>
      </c>
      <c r="L63" s="54">
        <f t="shared" si="13"/>
        <v>0</v>
      </c>
      <c r="N63" s="4" t="str">
        <f t="shared" si="16"/>
        <v/>
      </c>
    </row>
    <row r="64" spans="1:31" x14ac:dyDescent="0.2">
      <c r="A64" s="100" t="str">
        <f t="shared" ref="A64:B64" si="24">IF(A19="","",A19)</f>
        <v/>
      </c>
      <c r="B64" s="132" t="str">
        <f t="shared" si="24"/>
        <v/>
      </c>
      <c r="C64" s="52">
        <f t="shared" si="4"/>
        <v>0</v>
      </c>
      <c r="D64" s="52">
        <f t="shared" si="5"/>
        <v>0</v>
      </c>
      <c r="E64" s="52">
        <f t="shared" si="6"/>
        <v>0</v>
      </c>
      <c r="F64" s="52">
        <f t="shared" si="7"/>
        <v>0</v>
      </c>
      <c r="G64" s="52">
        <f t="shared" si="8"/>
        <v>0</v>
      </c>
      <c r="H64" s="52">
        <f t="shared" si="9"/>
        <v>0</v>
      </c>
      <c r="I64" s="53">
        <f t="shared" si="10"/>
        <v>0</v>
      </c>
      <c r="J64" s="53">
        <f t="shared" si="11"/>
        <v>0</v>
      </c>
      <c r="K64" s="53">
        <f t="shared" si="12"/>
        <v>0</v>
      </c>
      <c r="L64" s="54">
        <f t="shared" si="13"/>
        <v>0</v>
      </c>
      <c r="N64" s="4" t="str">
        <f t="shared" si="16"/>
        <v/>
      </c>
    </row>
    <row r="65" spans="1:27" x14ac:dyDescent="0.2">
      <c r="A65" s="100" t="str">
        <f t="shared" ref="A65:B65" si="25">IF(A20="","",A20)</f>
        <v/>
      </c>
      <c r="B65" s="132" t="str">
        <f t="shared" si="25"/>
        <v/>
      </c>
      <c r="C65" s="52">
        <f t="shared" si="4"/>
        <v>0</v>
      </c>
      <c r="D65" s="52">
        <f t="shared" si="5"/>
        <v>0</v>
      </c>
      <c r="E65" s="52">
        <f t="shared" si="6"/>
        <v>0</v>
      </c>
      <c r="F65" s="52">
        <f t="shared" si="7"/>
        <v>0</v>
      </c>
      <c r="G65" s="52">
        <f t="shared" si="8"/>
        <v>0</v>
      </c>
      <c r="H65" s="52">
        <f t="shared" si="9"/>
        <v>0</v>
      </c>
      <c r="I65" s="53">
        <f t="shared" si="10"/>
        <v>0</v>
      </c>
      <c r="J65" s="53">
        <f t="shared" si="11"/>
        <v>0</v>
      </c>
      <c r="K65" s="53">
        <f t="shared" si="12"/>
        <v>0</v>
      </c>
      <c r="L65" s="54">
        <f t="shared" si="13"/>
        <v>0</v>
      </c>
      <c r="N65" s="4" t="str">
        <f t="shared" si="16"/>
        <v/>
      </c>
    </row>
    <row r="66" spans="1:27" x14ac:dyDescent="0.2">
      <c r="A66" s="100" t="str">
        <f t="shared" ref="A66:B66" si="26">IF(A21="","",A21)</f>
        <v/>
      </c>
      <c r="B66" s="132" t="str">
        <f t="shared" si="26"/>
        <v/>
      </c>
      <c r="C66" s="52">
        <f t="shared" si="4"/>
        <v>0</v>
      </c>
      <c r="D66" s="52">
        <f t="shared" si="5"/>
        <v>0</v>
      </c>
      <c r="E66" s="52">
        <f t="shared" si="6"/>
        <v>0</v>
      </c>
      <c r="F66" s="52">
        <f t="shared" si="7"/>
        <v>0</v>
      </c>
      <c r="G66" s="52">
        <f t="shared" si="8"/>
        <v>0</v>
      </c>
      <c r="H66" s="52">
        <f t="shared" si="9"/>
        <v>0</v>
      </c>
      <c r="I66" s="53">
        <f t="shared" si="10"/>
        <v>0</v>
      </c>
      <c r="J66" s="53">
        <f t="shared" si="11"/>
        <v>0</v>
      </c>
      <c r="K66" s="53">
        <f t="shared" si="12"/>
        <v>0</v>
      </c>
      <c r="L66" s="54">
        <f t="shared" si="13"/>
        <v>0</v>
      </c>
      <c r="N66" s="4" t="str">
        <f t="shared" si="16"/>
        <v/>
      </c>
    </row>
    <row r="67" spans="1:27" x14ac:dyDescent="0.2">
      <c r="A67" s="100" t="str">
        <f t="shared" ref="A67:B67" si="27">IF(A22="","",A22)</f>
        <v/>
      </c>
      <c r="B67" s="132" t="str">
        <f t="shared" si="27"/>
        <v/>
      </c>
      <c r="C67" s="52">
        <f t="shared" si="4"/>
        <v>0</v>
      </c>
      <c r="D67" s="52">
        <f t="shared" si="5"/>
        <v>0</v>
      </c>
      <c r="E67" s="52">
        <f t="shared" si="6"/>
        <v>0</v>
      </c>
      <c r="F67" s="52">
        <f t="shared" si="7"/>
        <v>0</v>
      </c>
      <c r="G67" s="52">
        <f t="shared" si="8"/>
        <v>0</v>
      </c>
      <c r="H67" s="52">
        <f t="shared" si="9"/>
        <v>0</v>
      </c>
      <c r="I67" s="53">
        <f t="shared" si="10"/>
        <v>0</v>
      </c>
      <c r="J67" s="53">
        <f t="shared" si="11"/>
        <v>0</v>
      </c>
      <c r="K67" s="53">
        <f t="shared" si="12"/>
        <v>0</v>
      </c>
      <c r="L67" s="54">
        <f t="shared" si="13"/>
        <v>0</v>
      </c>
      <c r="N67" s="4" t="str">
        <f t="shared" si="16"/>
        <v/>
      </c>
    </row>
    <row r="68" spans="1:27" x14ac:dyDescent="0.2">
      <c r="A68" s="100" t="str">
        <f t="shared" ref="A68:B68" si="28">IF(A23="","",A23)</f>
        <v/>
      </c>
      <c r="B68" s="132" t="str">
        <f t="shared" si="28"/>
        <v/>
      </c>
      <c r="C68" s="52">
        <f t="shared" si="4"/>
        <v>0</v>
      </c>
      <c r="D68" s="52">
        <f t="shared" si="5"/>
        <v>0</v>
      </c>
      <c r="E68" s="52">
        <f t="shared" si="6"/>
        <v>0</v>
      </c>
      <c r="F68" s="52">
        <f t="shared" si="7"/>
        <v>0</v>
      </c>
      <c r="G68" s="52">
        <f t="shared" si="8"/>
        <v>0</v>
      </c>
      <c r="H68" s="52">
        <f t="shared" si="9"/>
        <v>0</v>
      </c>
      <c r="I68" s="53">
        <f t="shared" si="10"/>
        <v>0</v>
      </c>
      <c r="J68" s="53">
        <f t="shared" si="11"/>
        <v>0</v>
      </c>
      <c r="K68" s="53">
        <f t="shared" si="12"/>
        <v>0</v>
      </c>
      <c r="L68" s="54">
        <f t="shared" si="13"/>
        <v>0</v>
      </c>
      <c r="N68" s="4" t="str">
        <f t="shared" si="16"/>
        <v/>
      </c>
    </row>
    <row r="69" spans="1:27" ht="18.75" x14ac:dyDescent="0.3">
      <c r="A69" s="100" t="str">
        <f t="shared" ref="A69:B69" si="29">IF(A24="","",A24)</f>
        <v/>
      </c>
      <c r="B69" s="132" t="str">
        <f t="shared" si="29"/>
        <v/>
      </c>
      <c r="C69" s="52">
        <f t="shared" si="4"/>
        <v>0</v>
      </c>
      <c r="D69" s="52">
        <f t="shared" si="5"/>
        <v>0</v>
      </c>
      <c r="E69" s="52">
        <f t="shared" si="6"/>
        <v>0</v>
      </c>
      <c r="F69" s="52">
        <f t="shared" si="7"/>
        <v>0</v>
      </c>
      <c r="G69" s="52">
        <f t="shared" si="8"/>
        <v>0</v>
      </c>
      <c r="H69" s="52">
        <f t="shared" si="9"/>
        <v>0</v>
      </c>
      <c r="I69" s="53">
        <f t="shared" si="10"/>
        <v>0</v>
      </c>
      <c r="J69" s="53">
        <f t="shared" si="11"/>
        <v>0</v>
      </c>
      <c r="K69" s="53">
        <f t="shared" si="12"/>
        <v>0</v>
      </c>
      <c r="L69" s="54">
        <f t="shared" si="13"/>
        <v>0</v>
      </c>
      <c r="N69" s="4" t="str">
        <f t="shared" si="16"/>
        <v/>
      </c>
      <c r="AA69" s="91" t="s">
        <v>45</v>
      </c>
    </row>
    <row r="70" spans="1:27" x14ac:dyDescent="0.2">
      <c r="A70" s="100" t="str">
        <f t="shared" ref="A70:B70" si="30">IF(A25="","",A25)</f>
        <v/>
      </c>
      <c r="B70" s="132" t="str">
        <f t="shared" si="30"/>
        <v/>
      </c>
      <c r="C70" s="52">
        <f t="shared" si="4"/>
        <v>0</v>
      </c>
      <c r="D70" s="52">
        <f t="shared" si="5"/>
        <v>0</v>
      </c>
      <c r="E70" s="52">
        <f t="shared" si="6"/>
        <v>0</v>
      </c>
      <c r="F70" s="52">
        <f t="shared" si="7"/>
        <v>0</v>
      </c>
      <c r="G70" s="52">
        <f t="shared" si="8"/>
        <v>0</v>
      </c>
      <c r="H70" s="52">
        <f t="shared" si="9"/>
        <v>0</v>
      </c>
      <c r="I70" s="53">
        <f t="shared" si="10"/>
        <v>0</v>
      </c>
      <c r="J70" s="53">
        <f t="shared" si="11"/>
        <v>0</v>
      </c>
      <c r="K70" s="53">
        <f t="shared" si="12"/>
        <v>0</v>
      </c>
      <c r="L70" s="54">
        <f t="shared" si="13"/>
        <v>0</v>
      </c>
      <c r="N70" s="4" t="str">
        <f t="shared" si="16"/>
        <v/>
      </c>
      <c r="AA70" s="92" t="s">
        <v>63</v>
      </c>
    </row>
    <row r="71" spans="1:27" x14ac:dyDescent="0.2">
      <c r="A71" s="100" t="str">
        <f t="shared" ref="A71:B71" si="31">IF(A26="","",A26)</f>
        <v/>
      </c>
      <c r="B71" s="132" t="str">
        <f t="shared" si="31"/>
        <v/>
      </c>
      <c r="C71" s="52">
        <f t="shared" si="4"/>
        <v>0</v>
      </c>
      <c r="D71" s="52">
        <f t="shared" si="5"/>
        <v>0</v>
      </c>
      <c r="E71" s="52">
        <f t="shared" si="6"/>
        <v>0</v>
      </c>
      <c r="F71" s="52">
        <f t="shared" si="7"/>
        <v>0</v>
      </c>
      <c r="G71" s="52">
        <f t="shared" si="8"/>
        <v>0</v>
      </c>
      <c r="H71" s="52">
        <f t="shared" si="9"/>
        <v>0</v>
      </c>
      <c r="I71" s="53">
        <f t="shared" si="10"/>
        <v>0</v>
      </c>
      <c r="J71" s="53">
        <f t="shared" si="11"/>
        <v>0</v>
      </c>
      <c r="K71" s="53">
        <f t="shared" si="12"/>
        <v>0</v>
      </c>
      <c r="L71" s="54">
        <f t="shared" si="13"/>
        <v>0</v>
      </c>
      <c r="N71" s="4" t="str">
        <f t="shared" si="16"/>
        <v/>
      </c>
      <c r="AA71" s="92" t="s">
        <v>56</v>
      </c>
    </row>
    <row r="72" spans="1:27" x14ac:dyDescent="0.2">
      <c r="A72" s="100" t="str">
        <f t="shared" ref="A72:B72" si="32">IF(A27="","",A27)</f>
        <v/>
      </c>
      <c r="B72" s="132" t="str">
        <f t="shared" si="32"/>
        <v/>
      </c>
      <c r="C72" s="52">
        <f t="shared" si="4"/>
        <v>0</v>
      </c>
      <c r="D72" s="52">
        <f t="shared" si="5"/>
        <v>0</v>
      </c>
      <c r="E72" s="52">
        <f t="shared" si="6"/>
        <v>0</v>
      </c>
      <c r="F72" s="52">
        <f t="shared" si="7"/>
        <v>0</v>
      </c>
      <c r="G72" s="52">
        <f t="shared" si="8"/>
        <v>0</v>
      </c>
      <c r="H72" s="52">
        <f t="shared" si="9"/>
        <v>0</v>
      </c>
      <c r="I72" s="53">
        <f t="shared" si="10"/>
        <v>0</v>
      </c>
      <c r="J72" s="53">
        <f t="shared" si="11"/>
        <v>0</v>
      </c>
      <c r="K72" s="53">
        <f t="shared" si="12"/>
        <v>0</v>
      </c>
      <c r="L72" s="54">
        <f t="shared" si="13"/>
        <v>0</v>
      </c>
      <c r="N72" s="4" t="str">
        <f t="shared" si="16"/>
        <v/>
      </c>
      <c r="AA72" s="92" t="s">
        <v>57</v>
      </c>
    </row>
    <row r="73" spans="1:27" x14ac:dyDescent="0.2">
      <c r="A73" s="100" t="str">
        <f t="shared" ref="A73:B73" si="33">IF(A28="","",A28)</f>
        <v/>
      </c>
      <c r="B73" s="132" t="str">
        <f t="shared" si="33"/>
        <v/>
      </c>
      <c r="C73" s="52">
        <f t="shared" si="4"/>
        <v>0</v>
      </c>
      <c r="D73" s="52">
        <f t="shared" si="5"/>
        <v>0</v>
      </c>
      <c r="E73" s="52">
        <f t="shared" si="6"/>
        <v>0</v>
      </c>
      <c r="F73" s="52">
        <f t="shared" si="7"/>
        <v>0</v>
      </c>
      <c r="G73" s="52">
        <f t="shared" si="8"/>
        <v>0</v>
      </c>
      <c r="H73" s="52">
        <f t="shared" si="9"/>
        <v>0</v>
      </c>
      <c r="I73" s="53">
        <f t="shared" si="10"/>
        <v>0</v>
      </c>
      <c r="J73" s="53">
        <f t="shared" si="11"/>
        <v>0</v>
      </c>
      <c r="K73" s="53">
        <f t="shared" si="12"/>
        <v>0</v>
      </c>
      <c r="L73" s="54">
        <f t="shared" si="13"/>
        <v>0</v>
      </c>
      <c r="N73" s="4" t="str">
        <f t="shared" si="16"/>
        <v/>
      </c>
      <c r="AA73" s="92" t="s">
        <v>58</v>
      </c>
    </row>
    <row r="74" spans="1:27" x14ac:dyDescent="0.2">
      <c r="A74" s="100" t="str">
        <f t="shared" ref="A74:B74" si="34">IF(A29="","",A29)</f>
        <v/>
      </c>
      <c r="B74" s="132" t="str">
        <f t="shared" si="34"/>
        <v/>
      </c>
      <c r="C74" s="52">
        <f t="shared" si="4"/>
        <v>0</v>
      </c>
      <c r="D74" s="52">
        <f t="shared" si="5"/>
        <v>0</v>
      </c>
      <c r="E74" s="52">
        <f t="shared" si="6"/>
        <v>0</v>
      </c>
      <c r="F74" s="52">
        <f t="shared" si="7"/>
        <v>0</v>
      </c>
      <c r="G74" s="52">
        <f t="shared" si="8"/>
        <v>0</v>
      </c>
      <c r="H74" s="52">
        <f t="shared" si="9"/>
        <v>0</v>
      </c>
      <c r="I74" s="53">
        <f t="shared" si="10"/>
        <v>0</v>
      </c>
      <c r="J74" s="53">
        <f t="shared" si="11"/>
        <v>0</v>
      </c>
      <c r="K74" s="53">
        <f t="shared" si="12"/>
        <v>0</v>
      </c>
      <c r="L74" s="54">
        <f t="shared" si="13"/>
        <v>0</v>
      </c>
      <c r="N74" s="4" t="str">
        <f t="shared" si="16"/>
        <v/>
      </c>
      <c r="AA74" s="92" t="s">
        <v>59</v>
      </c>
    </row>
    <row r="75" spans="1:27" x14ac:dyDescent="0.2">
      <c r="A75" s="100" t="str">
        <f t="shared" ref="A75:B75" si="35">IF(A30="","",A30)</f>
        <v/>
      </c>
      <c r="B75" s="132" t="str">
        <f t="shared" si="35"/>
        <v/>
      </c>
      <c r="C75" s="52">
        <f t="shared" si="4"/>
        <v>0</v>
      </c>
      <c r="D75" s="52">
        <f t="shared" si="5"/>
        <v>0</v>
      </c>
      <c r="E75" s="52">
        <f t="shared" si="6"/>
        <v>0</v>
      </c>
      <c r="F75" s="52">
        <f t="shared" si="7"/>
        <v>0</v>
      </c>
      <c r="G75" s="52">
        <f t="shared" si="8"/>
        <v>0</v>
      </c>
      <c r="H75" s="52">
        <f t="shared" si="9"/>
        <v>0</v>
      </c>
      <c r="I75" s="53">
        <f t="shared" si="10"/>
        <v>0</v>
      </c>
      <c r="J75" s="53">
        <f t="shared" si="11"/>
        <v>0</v>
      </c>
      <c r="K75" s="53">
        <f t="shared" si="12"/>
        <v>0</v>
      </c>
      <c r="L75" s="54">
        <f t="shared" si="13"/>
        <v>0</v>
      </c>
      <c r="N75" s="4" t="str">
        <f t="shared" si="16"/>
        <v/>
      </c>
    </row>
    <row r="76" spans="1:27" x14ac:dyDescent="0.2">
      <c r="A76" s="100" t="str">
        <f t="shared" ref="A76:B76" si="36">IF(A31="","",A31)</f>
        <v/>
      </c>
      <c r="B76" s="132" t="str">
        <f t="shared" si="36"/>
        <v/>
      </c>
      <c r="C76" s="52">
        <f t="shared" si="4"/>
        <v>0</v>
      </c>
      <c r="D76" s="52">
        <f t="shared" si="5"/>
        <v>0</v>
      </c>
      <c r="E76" s="52">
        <f t="shared" si="6"/>
        <v>0</v>
      </c>
      <c r="F76" s="52">
        <f t="shared" si="7"/>
        <v>0</v>
      </c>
      <c r="G76" s="52">
        <f t="shared" si="8"/>
        <v>0</v>
      </c>
      <c r="H76" s="52">
        <f t="shared" si="9"/>
        <v>0</v>
      </c>
      <c r="I76" s="53">
        <f t="shared" si="10"/>
        <v>0</v>
      </c>
      <c r="J76" s="53">
        <f t="shared" si="11"/>
        <v>0</v>
      </c>
      <c r="K76" s="53">
        <f t="shared" si="12"/>
        <v>0</v>
      </c>
      <c r="L76" s="54">
        <f t="shared" si="13"/>
        <v>0</v>
      </c>
      <c r="N76" s="4" t="str">
        <f t="shared" si="16"/>
        <v/>
      </c>
    </row>
    <row r="77" spans="1:27" x14ac:dyDescent="0.2">
      <c r="A77" s="100" t="str">
        <f t="shared" ref="A77:B77" si="37">IF(A32="","",A32)</f>
        <v/>
      </c>
      <c r="B77" s="132" t="str">
        <f t="shared" si="37"/>
        <v/>
      </c>
      <c r="C77" s="52">
        <f t="shared" si="4"/>
        <v>0</v>
      </c>
      <c r="D77" s="52">
        <f t="shared" si="5"/>
        <v>0</v>
      </c>
      <c r="E77" s="52">
        <f t="shared" si="6"/>
        <v>0</v>
      </c>
      <c r="F77" s="52">
        <f t="shared" si="7"/>
        <v>0</v>
      </c>
      <c r="G77" s="52">
        <f t="shared" si="8"/>
        <v>0</v>
      </c>
      <c r="H77" s="52">
        <f t="shared" si="9"/>
        <v>0</v>
      </c>
      <c r="I77" s="53">
        <f t="shared" si="10"/>
        <v>0</v>
      </c>
      <c r="J77" s="53">
        <f t="shared" si="11"/>
        <v>0</v>
      </c>
      <c r="K77" s="53">
        <f t="shared" si="12"/>
        <v>0</v>
      </c>
      <c r="L77" s="54">
        <f t="shared" si="13"/>
        <v>0</v>
      </c>
      <c r="N77" s="4" t="str">
        <f t="shared" si="16"/>
        <v/>
      </c>
    </row>
    <row r="78" spans="1:27" x14ac:dyDescent="0.2">
      <c r="A78" s="100" t="str">
        <f t="shared" ref="A78:B78" si="38">IF(A33="","",A33)</f>
        <v/>
      </c>
      <c r="B78" s="132" t="str">
        <f t="shared" si="38"/>
        <v/>
      </c>
      <c r="C78" s="52">
        <f t="shared" si="4"/>
        <v>0</v>
      </c>
      <c r="D78" s="52">
        <f t="shared" si="5"/>
        <v>0</v>
      </c>
      <c r="E78" s="52">
        <f t="shared" si="6"/>
        <v>0</v>
      </c>
      <c r="F78" s="52">
        <f t="shared" si="7"/>
        <v>0</v>
      </c>
      <c r="G78" s="52">
        <f t="shared" si="8"/>
        <v>0</v>
      </c>
      <c r="H78" s="52">
        <f t="shared" si="9"/>
        <v>0</v>
      </c>
      <c r="I78" s="53">
        <f t="shared" si="10"/>
        <v>0</v>
      </c>
      <c r="J78" s="53">
        <f t="shared" si="11"/>
        <v>0</v>
      </c>
      <c r="K78" s="53">
        <f t="shared" si="12"/>
        <v>0</v>
      </c>
      <c r="L78" s="54">
        <f t="shared" si="13"/>
        <v>0</v>
      </c>
      <c r="N78" s="4" t="str">
        <f t="shared" si="16"/>
        <v/>
      </c>
    </row>
    <row r="79" spans="1:27" x14ac:dyDescent="0.2">
      <c r="A79" s="100" t="str">
        <f t="shared" ref="A79:B79" si="39">IF(A34="","",A34)</f>
        <v/>
      </c>
      <c r="B79" s="132" t="str">
        <f t="shared" si="39"/>
        <v/>
      </c>
      <c r="C79" s="52">
        <f t="shared" si="4"/>
        <v>0</v>
      </c>
      <c r="D79" s="52">
        <f t="shared" si="5"/>
        <v>0</v>
      </c>
      <c r="E79" s="52">
        <f t="shared" si="6"/>
        <v>0</v>
      </c>
      <c r="F79" s="52">
        <f t="shared" si="7"/>
        <v>0</v>
      </c>
      <c r="G79" s="52">
        <f t="shared" si="8"/>
        <v>0</v>
      </c>
      <c r="H79" s="52">
        <f t="shared" si="9"/>
        <v>0</v>
      </c>
      <c r="I79" s="53">
        <f t="shared" si="10"/>
        <v>0</v>
      </c>
      <c r="J79" s="53">
        <f t="shared" si="11"/>
        <v>0</v>
      </c>
      <c r="K79" s="53">
        <f t="shared" si="12"/>
        <v>0</v>
      </c>
      <c r="L79" s="54">
        <f t="shared" si="13"/>
        <v>0</v>
      </c>
      <c r="N79" s="4" t="str">
        <f t="shared" si="16"/>
        <v/>
      </c>
    </row>
    <row r="80" spans="1:27" x14ac:dyDescent="0.2">
      <c r="A80" s="100" t="str">
        <f t="shared" ref="A80" si="40">IF(A35="","",A35)</f>
        <v/>
      </c>
      <c r="B80" s="132" t="str">
        <f>IF(B35="","",B35)</f>
        <v/>
      </c>
      <c r="C80" s="52">
        <f t="shared" si="4"/>
        <v>0</v>
      </c>
      <c r="D80" s="52">
        <f t="shared" si="5"/>
        <v>0</v>
      </c>
      <c r="E80" s="52">
        <f t="shared" si="6"/>
        <v>0</v>
      </c>
      <c r="F80" s="52">
        <f t="shared" si="7"/>
        <v>0</v>
      </c>
      <c r="G80" s="52">
        <f t="shared" si="8"/>
        <v>0</v>
      </c>
      <c r="H80" s="52">
        <f t="shared" si="9"/>
        <v>0</v>
      </c>
      <c r="I80" s="53">
        <f t="shared" si="10"/>
        <v>0</v>
      </c>
      <c r="J80" s="53">
        <f t="shared" si="11"/>
        <v>0</v>
      </c>
      <c r="K80" s="53">
        <f t="shared" si="12"/>
        <v>0</v>
      </c>
      <c r="L80" s="54">
        <f t="shared" si="13"/>
        <v>0</v>
      </c>
      <c r="N80" s="4" t="str">
        <f t="shared" si="16"/>
        <v/>
      </c>
    </row>
    <row r="81" spans="1:14" x14ac:dyDescent="0.2">
      <c r="A81" s="100" t="str">
        <f t="shared" ref="A81:B81" si="41">IF(A36="","",A36)</f>
        <v/>
      </c>
      <c r="B81" s="132" t="str">
        <f t="shared" si="41"/>
        <v/>
      </c>
      <c r="C81" s="52">
        <f t="shared" si="4"/>
        <v>0</v>
      </c>
      <c r="D81" s="52">
        <f t="shared" si="5"/>
        <v>0</v>
      </c>
      <c r="E81" s="52">
        <f t="shared" si="6"/>
        <v>0</v>
      </c>
      <c r="F81" s="52">
        <f t="shared" si="7"/>
        <v>0</v>
      </c>
      <c r="G81" s="52">
        <f t="shared" si="8"/>
        <v>0</v>
      </c>
      <c r="H81" s="52">
        <f t="shared" si="9"/>
        <v>0</v>
      </c>
      <c r="I81" s="53">
        <f t="shared" si="10"/>
        <v>0</v>
      </c>
      <c r="J81" s="53">
        <f t="shared" si="11"/>
        <v>0</v>
      </c>
      <c r="K81" s="53">
        <f t="shared" si="12"/>
        <v>0</v>
      </c>
      <c r="L81" s="54">
        <f t="shared" si="13"/>
        <v>0</v>
      </c>
      <c r="N81" s="4" t="str">
        <f t="shared" si="16"/>
        <v/>
      </c>
    </row>
    <row r="82" spans="1:14" x14ac:dyDescent="0.2">
      <c r="A82" s="100" t="str">
        <f t="shared" ref="A82:B82" si="42">IF(A37="","",A37)</f>
        <v/>
      </c>
      <c r="B82" s="132" t="str">
        <f t="shared" si="42"/>
        <v/>
      </c>
      <c r="C82" s="52">
        <f>C37*B82/100</f>
        <v>0</v>
      </c>
      <c r="D82" s="52">
        <f t="shared" si="5"/>
        <v>0</v>
      </c>
      <c r="E82" s="52">
        <f t="shared" si="6"/>
        <v>0</v>
      </c>
      <c r="F82" s="52">
        <f t="shared" si="7"/>
        <v>0</v>
      </c>
      <c r="G82" s="52">
        <f t="shared" si="8"/>
        <v>0</v>
      </c>
      <c r="H82" s="52">
        <f t="shared" si="9"/>
        <v>0</v>
      </c>
      <c r="I82" s="53">
        <f t="shared" si="10"/>
        <v>0</v>
      </c>
      <c r="J82" s="53">
        <f t="shared" si="11"/>
        <v>0</v>
      </c>
      <c r="K82" s="53">
        <f t="shared" si="12"/>
        <v>0</v>
      </c>
      <c r="L82" s="54">
        <f t="shared" si="13"/>
        <v>0</v>
      </c>
      <c r="N82" s="4" t="str">
        <f t="shared" si="16"/>
        <v/>
      </c>
    </row>
    <row r="83" spans="1:14" x14ac:dyDescent="0.2">
      <c r="A83" s="9" t="s">
        <v>33</v>
      </c>
      <c r="B83" s="58">
        <f t="shared" ref="B83:L83" si="43">SUM(B53:B82)</f>
        <v>0</v>
      </c>
      <c r="C83" s="52">
        <f t="shared" si="43"/>
        <v>0</v>
      </c>
      <c r="D83" s="52">
        <f t="shared" si="43"/>
        <v>0</v>
      </c>
      <c r="E83" s="52">
        <f t="shared" si="43"/>
        <v>0</v>
      </c>
      <c r="F83" s="52">
        <f t="shared" si="43"/>
        <v>0</v>
      </c>
      <c r="G83" s="52">
        <f t="shared" si="43"/>
        <v>0</v>
      </c>
      <c r="H83" s="52">
        <f t="shared" si="43"/>
        <v>0</v>
      </c>
      <c r="I83" s="53">
        <f t="shared" si="43"/>
        <v>0</v>
      </c>
      <c r="J83" s="53">
        <f t="shared" si="43"/>
        <v>0</v>
      </c>
      <c r="K83" s="53">
        <f t="shared" si="43"/>
        <v>0</v>
      </c>
      <c r="L83" s="53">
        <f t="shared" si="43"/>
        <v>0</v>
      </c>
    </row>
    <row r="84" spans="1:14" x14ac:dyDescent="0.2">
      <c r="A84" s="9" t="s">
        <v>34</v>
      </c>
      <c r="B84" s="37">
        <v>0</v>
      </c>
      <c r="C84" s="58"/>
      <c r="D84" s="58"/>
      <c r="E84" s="58"/>
      <c r="F84" s="58"/>
      <c r="G84" s="58"/>
      <c r="H84" s="58"/>
      <c r="I84" s="59"/>
      <c r="J84" s="60"/>
      <c r="K84" s="60"/>
      <c r="L84" s="61"/>
    </row>
    <row r="85" spans="1:14" x14ac:dyDescent="0.2">
      <c r="A85" s="9" t="s">
        <v>35</v>
      </c>
      <c r="B85" s="58">
        <f>B83-B83*B84/100</f>
        <v>0</v>
      </c>
      <c r="C85" s="52">
        <f>C83-B83*B84/100</f>
        <v>0</v>
      </c>
      <c r="D85" s="52">
        <f t="shared" ref="D85:L85" si="44">SUM(D53:D82)</f>
        <v>0</v>
      </c>
      <c r="E85" s="52">
        <f t="shared" si="44"/>
        <v>0</v>
      </c>
      <c r="F85" s="52">
        <f t="shared" si="44"/>
        <v>0</v>
      </c>
      <c r="G85" s="52">
        <f t="shared" si="44"/>
        <v>0</v>
      </c>
      <c r="H85" s="52">
        <f t="shared" si="44"/>
        <v>0</v>
      </c>
      <c r="I85" s="53">
        <f t="shared" si="44"/>
        <v>0</v>
      </c>
      <c r="J85" s="53">
        <f t="shared" si="44"/>
        <v>0</v>
      </c>
      <c r="K85" s="53">
        <f t="shared" si="44"/>
        <v>0</v>
      </c>
      <c r="L85" s="54">
        <f t="shared" si="44"/>
        <v>0</v>
      </c>
    </row>
    <row r="86" spans="1:14" x14ac:dyDescent="0.2">
      <c r="A86" s="9" t="s">
        <v>36</v>
      </c>
      <c r="B86" s="62" t="e">
        <f>SUM(C86:H86)</f>
        <v>#DIV/0!</v>
      </c>
      <c r="C86" s="62" t="e">
        <f>ROUND(+C85/B85*100,1)</f>
        <v>#DIV/0!</v>
      </c>
      <c r="D86" s="62" t="e">
        <f>ROUND(+D85/B85*100,1)</f>
        <v>#DIV/0!</v>
      </c>
      <c r="E86" s="62" t="e">
        <f>ROUND(+E85/B85*100,1)</f>
        <v>#DIV/0!</v>
      </c>
      <c r="F86" s="62" t="e">
        <f>ROUND(+F85/B85*100,1)</f>
        <v>#DIV/0!</v>
      </c>
      <c r="G86" s="62" t="e">
        <f>ROUND(+G85/B85*100,1)</f>
        <v>#DIV/0!</v>
      </c>
      <c r="H86" s="62" t="e">
        <f>ROUND(+H85/B85*100,1)</f>
        <v>#DIV/0!</v>
      </c>
      <c r="I86" s="63" t="e">
        <f>ROUND(+I85/B85*100,1)</f>
        <v>#DIV/0!</v>
      </c>
      <c r="J86" s="53" t="e">
        <f>(+J85/B85*100)</f>
        <v>#DIV/0!</v>
      </c>
      <c r="K86" s="53" t="e">
        <f>(+K85/B85*100)</f>
        <v>#DIV/0!</v>
      </c>
      <c r="L86" s="54" t="e">
        <f>(+L85/B85*100)</f>
        <v>#DIV/0!</v>
      </c>
    </row>
    <row r="87" spans="1:14" x14ac:dyDescent="0.2">
      <c r="A87" s="9" t="s">
        <v>37</v>
      </c>
      <c r="B87" s="62" t="e">
        <f>SUM(C87:H87)</f>
        <v>#DIV/0!</v>
      </c>
      <c r="C87" s="149"/>
      <c r="D87" s="149"/>
      <c r="E87" s="149"/>
      <c r="F87" s="88" t="e">
        <f>F86+100-B86</f>
        <v>#DIV/0!</v>
      </c>
      <c r="G87" s="149"/>
      <c r="H87" s="149"/>
      <c r="I87" s="149"/>
      <c r="J87" s="150"/>
      <c r="K87" s="150"/>
      <c r="L87" s="158"/>
    </row>
    <row r="88" spans="1:14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56"/>
      <c r="K88" s="6"/>
      <c r="L88" s="31"/>
    </row>
    <row r="89" spans="1:14" x14ac:dyDescent="0.2">
      <c r="A89" s="125" t="s">
        <v>24</v>
      </c>
      <c r="B89" s="125" t="s">
        <v>19</v>
      </c>
      <c r="C89" s="125" t="s">
        <v>4</v>
      </c>
      <c r="D89" s="125" t="s">
        <v>5</v>
      </c>
      <c r="E89" s="125" t="s">
        <v>6</v>
      </c>
      <c r="F89" s="125" t="s">
        <v>7</v>
      </c>
      <c r="G89" s="125" t="s">
        <v>8</v>
      </c>
      <c r="H89" s="125" t="s">
        <v>9</v>
      </c>
      <c r="I89" s="126" t="s">
        <v>25</v>
      </c>
      <c r="J89" s="127" t="s">
        <v>11</v>
      </c>
      <c r="K89" s="128" t="s">
        <v>12</v>
      </c>
      <c r="L89" s="129" t="s">
        <v>13</v>
      </c>
    </row>
    <row r="90" spans="1:14" x14ac:dyDescent="0.2">
      <c r="A90" s="28" t="s">
        <v>27</v>
      </c>
      <c r="B90" s="58">
        <f>B40*(100-B84)/100</f>
        <v>100</v>
      </c>
      <c r="C90" s="52">
        <f>C87/100*B90</f>
        <v>0</v>
      </c>
      <c r="D90" s="52">
        <f>D87/100*B90</f>
        <v>0</v>
      </c>
      <c r="E90" s="52">
        <f>E87/100*B90</f>
        <v>0</v>
      </c>
      <c r="F90" s="52" t="e">
        <f>F87/100*B90</f>
        <v>#DIV/0!</v>
      </c>
      <c r="G90" s="52">
        <f>G87/100*B90</f>
        <v>0</v>
      </c>
      <c r="H90" s="52">
        <f>H87/100*B90</f>
        <v>0</v>
      </c>
      <c r="I90" s="53">
        <f>I87/100*B90</f>
        <v>0</v>
      </c>
      <c r="J90" s="60">
        <f>J87/100*B90</f>
        <v>0</v>
      </c>
      <c r="K90" s="60">
        <f>K87/100*B90</f>
        <v>0</v>
      </c>
      <c r="L90" s="61">
        <f>L87/100*B90</f>
        <v>0</v>
      </c>
    </row>
    <row r="91" spans="1:14" x14ac:dyDescent="0.2">
      <c r="A91" s="100" t="str">
        <f>IF(A41="","",A41)</f>
        <v/>
      </c>
      <c r="B91" s="132" t="str">
        <f>IF(B41="","",B41)</f>
        <v/>
      </c>
      <c r="C91" s="52">
        <f t="shared" ref="C91:C99" si="45">C41/100*B91</f>
        <v>0</v>
      </c>
      <c r="D91" s="52">
        <f t="shared" ref="D91:D99" si="46">D41/100*B91</f>
        <v>0</v>
      </c>
      <c r="E91" s="52">
        <f t="shared" ref="E91:E99" si="47">E41/100*B91</f>
        <v>0</v>
      </c>
      <c r="F91" s="52">
        <f t="shared" ref="F91:F99" si="48">F41/100*B91</f>
        <v>0</v>
      </c>
      <c r="G91" s="52">
        <f t="shared" ref="G91:G99" si="49">G41/100*B91</f>
        <v>0</v>
      </c>
      <c r="H91" s="52">
        <f t="shared" ref="H91:H99" si="50">H41/100*B91</f>
        <v>0</v>
      </c>
      <c r="I91" s="53">
        <f t="shared" ref="I91:I99" si="51">I41/100*B91</f>
        <v>0</v>
      </c>
      <c r="J91" s="60">
        <f t="shared" ref="J91:J99" si="52">J41/100*B91</f>
        <v>0</v>
      </c>
      <c r="K91" s="60">
        <f t="shared" ref="K91:K99" si="53">K41/100*B91</f>
        <v>0</v>
      </c>
      <c r="L91" s="60">
        <f t="shared" ref="L91:L99" si="54">L41/100*B91</f>
        <v>0</v>
      </c>
    </row>
    <row r="92" spans="1:14" x14ac:dyDescent="0.2">
      <c r="A92" s="100" t="str">
        <f t="shared" ref="A92:B92" si="55">IF(A42="","",A42)</f>
        <v/>
      </c>
      <c r="B92" s="132" t="str">
        <f t="shared" si="55"/>
        <v/>
      </c>
      <c r="C92" s="52">
        <f t="shared" si="45"/>
        <v>0</v>
      </c>
      <c r="D92" s="52">
        <f t="shared" si="46"/>
        <v>0</v>
      </c>
      <c r="E92" s="52">
        <f t="shared" si="47"/>
        <v>0</v>
      </c>
      <c r="F92" s="52">
        <f t="shared" si="48"/>
        <v>0</v>
      </c>
      <c r="G92" s="52">
        <f t="shared" si="49"/>
        <v>0</v>
      </c>
      <c r="H92" s="52">
        <f t="shared" si="50"/>
        <v>0</v>
      </c>
      <c r="I92" s="53">
        <f t="shared" si="51"/>
        <v>0</v>
      </c>
      <c r="J92" s="60">
        <f t="shared" si="52"/>
        <v>0</v>
      </c>
      <c r="K92" s="60">
        <f t="shared" si="53"/>
        <v>0</v>
      </c>
      <c r="L92" s="60">
        <f t="shared" si="54"/>
        <v>0</v>
      </c>
    </row>
    <row r="93" spans="1:14" x14ac:dyDescent="0.2">
      <c r="A93" s="100" t="str">
        <f t="shared" ref="A93:B93" si="56">IF(A43="","",A43)</f>
        <v/>
      </c>
      <c r="B93" s="132" t="str">
        <f t="shared" si="56"/>
        <v/>
      </c>
      <c r="C93" s="52">
        <f t="shared" si="45"/>
        <v>0</v>
      </c>
      <c r="D93" s="52">
        <f t="shared" si="46"/>
        <v>0</v>
      </c>
      <c r="E93" s="52">
        <f t="shared" si="47"/>
        <v>0</v>
      </c>
      <c r="F93" s="52">
        <f t="shared" si="48"/>
        <v>0</v>
      </c>
      <c r="G93" s="52">
        <f t="shared" si="49"/>
        <v>0</v>
      </c>
      <c r="H93" s="52">
        <f t="shared" si="50"/>
        <v>0</v>
      </c>
      <c r="I93" s="53">
        <f t="shared" si="51"/>
        <v>0</v>
      </c>
      <c r="J93" s="60">
        <f t="shared" si="52"/>
        <v>0</v>
      </c>
      <c r="K93" s="60">
        <f t="shared" si="53"/>
        <v>0</v>
      </c>
      <c r="L93" s="60">
        <f t="shared" si="54"/>
        <v>0</v>
      </c>
    </row>
    <row r="94" spans="1:14" x14ac:dyDescent="0.2">
      <c r="A94" s="100" t="str">
        <f t="shared" ref="A94:B94" si="57">IF(A44="","",A44)</f>
        <v/>
      </c>
      <c r="B94" s="132" t="str">
        <f t="shared" si="57"/>
        <v/>
      </c>
      <c r="C94" s="52">
        <f t="shared" si="45"/>
        <v>0</v>
      </c>
      <c r="D94" s="52">
        <f t="shared" si="46"/>
        <v>0</v>
      </c>
      <c r="E94" s="52">
        <f t="shared" si="47"/>
        <v>0</v>
      </c>
      <c r="F94" s="52">
        <f t="shared" si="48"/>
        <v>0</v>
      </c>
      <c r="G94" s="52">
        <f t="shared" si="49"/>
        <v>0</v>
      </c>
      <c r="H94" s="52">
        <f t="shared" si="50"/>
        <v>0</v>
      </c>
      <c r="I94" s="53">
        <f t="shared" si="51"/>
        <v>0</v>
      </c>
      <c r="J94" s="60">
        <f t="shared" si="52"/>
        <v>0</v>
      </c>
      <c r="K94" s="60">
        <f t="shared" si="53"/>
        <v>0</v>
      </c>
      <c r="L94" s="60">
        <f t="shared" si="54"/>
        <v>0</v>
      </c>
    </row>
    <row r="95" spans="1:14" x14ac:dyDescent="0.2">
      <c r="A95" s="100" t="str">
        <f t="shared" ref="A95:B95" si="58">IF(A45="","",A45)</f>
        <v/>
      </c>
      <c r="B95" s="132" t="str">
        <f t="shared" si="58"/>
        <v/>
      </c>
      <c r="C95" s="52">
        <f t="shared" si="45"/>
        <v>0</v>
      </c>
      <c r="D95" s="52">
        <f t="shared" si="46"/>
        <v>0</v>
      </c>
      <c r="E95" s="52">
        <f t="shared" si="47"/>
        <v>0</v>
      </c>
      <c r="F95" s="52">
        <f t="shared" si="48"/>
        <v>0</v>
      </c>
      <c r="G95" s="52">
        <f t="shared" si="49"/>
        <v>0</v>
      </c>
      <c r="H95" s="52">
        <f t="shared" si="50"/>
        <v>0</v>
      </c>
      <c r="I95" s="53">
        <f t="shared" si="51"/>
        <v>0</v>
      </c>
      <c r="J95" s="60">
        <f t="shared" si="52"/>
        <v>0</v>
      </c>
      <c r="K95" s="60">
        <f t="shared" si="53"/>
        <v>0</v>
      </c>
      <c r="L95" s="60">
        <f t="shared" si="54"/>
        <v>0</v>
      </c>
    </row>
    <row r="96" spans="1:14" x14ac:dyDescent="0.2">
      <c r="A96" s="100" t="str">
        <f t="shared" ref="A96:B96" si="59">IF(A46="","",A46)</f>
        <v/>
      </c>
      <c r="B96" s="132" t="str">
        <f t="shared" si="59"/>
        <v/>
      </c>
      <c r="C96" s="52">
        <f t="shared" si="45"/>
        <v>0</v>
      </c>
      <c r="D96" s="52">
        <f t="shared" si="46"/>
        <v>0</v>
      </c>
      <c r="E96" s="52">
        <f t="shared" si="47"/>
        <v>0</v>
      </c>
      <c r="F96" s="52">
        <f t="shared" si="48"/>
        <v>0</v>
      </c>
      <c r="G96" s="52">
        <f t="shared" si="49"/>
        <v>0</v>
      </c>
      <c r="H96" s="52">
        <f t="shared" si="50"/>
        <v>0</v>
      </c>
      <c r="I96" s="53">
        <f t="shared" si="51"/>
        <v>0</v>
      </c>
      <c r="J96" s="60">
        <f t="shared" si="52"/>
        <v>0</v>
      </c>
      <c r="K96" s="60">
        <f t="shared" si="53"/>
        <v>0</v>
      </c>
      <c r="L96" s="60">
        <f t="shared" si="54"/>
        <v>0</v>
      </c>
    </row>
    <row r="97" spans="1:12" x14ac:dyDescent="0.2">
      <c r="A97" s="100" t="str">
        <f t="shared" ref="A97:B97" si="60">IF(A47="","",A47)</f>
        <v/>
      </c>
      <c r="B97" s="132" t="str">
        <f t="shared" si="60"/>
        <v/>
      </c>
      <c r="C97" s="52">
        <f t="shared" si="45"/>
        <v>0</v>
      </c>
      <c r="D97" s="52">
        <f t="shared" si="46"/>
        <v>0</v>
      </c>
      <c r="E97" s="52">
        <f t="shared" si="47"/>
        <v>0</v>
      </c>
      <c r="F97" s="52">
        <f t="shared" si="48"/>
        <v>0</v>
      </c>
      <c r="G97" s="52">
        <f t="shared" si="49"/>
        <v>0</v>
      </c>
      <c r="H97" s="52">
        <f t="shared" si="50"/>
        <v>0</v>
      </c>
      <c r="I97" s="53">
        <f t="shared" si="51"/>
        <v>0</v>
      </c>
      <c r="J97" s="60">
        <f t="shared" si="52"/>
        <v>0</v>
      </c>
      <c r="K97" s="60">
        <f t="shared" si="53"/>
        <v>0</v>
      </c>
      <c r="L97" s="60">
        <f t="shared" si="54"/>
        <v>0</v>
      </c>
    </row>
    <row r="98" spans="1:12" x14ac:dyDescent="0.2">
      <c r="A98" s="100" t="str">
        <f t="shared" ref="A98:B98" si="61">IF(A48="","",A48)</f>
        <v/>
      </c>
      <c r="B98" s="132" t="str">
        <f t="shared" si="61"/>
        <v/>
      </c>
      <c r="C98" s="52">
        <f t="shared" si="45"/>
        <v>0</v>
      </c>
      <c r="D98" s="52">
        <f t="shared" si="46"/>
        <v>0</v>
      </c>
      <c r="E98" s="52">
        <f t="shared" si="47"/>
        <v>0</v>
      </c>
      <c r="F98" s="52">
        <f t="shared" si="48"/>
        <v>0</v>
      </c>
      <c r="G98" s="52">
        <f t="shared" si="49"/>
        <v>0</v>
      </c>
      <c r="H98" s="52">
        <f t="shared" si="50"/>
        <v>0</v>
      </c>
      <c r="I98" s="53">
        <f t="shared" si="51"/>
        <v>0</v>
      </c>
      <c r="J98" s="60">
        <f t="shared" si="52"/>
        <v>0</v>
      </c>
      <c r="K98" s="60">
        <f t="shared" si="53"/>
        <v>0</v>
      </c>
      <c r="L98" s="60">
        <f t="shared" si="54"/>
        <v>0</v>
      </c>
    </row>
    <row r="99" spans="1:12" x14ac:dyDescent="0.2">
      <c r="A99" s="100" t="str">
        <f t="shared" ref="A99" si="62">IF(A49="","",A49)</f>
        <v/>
      </c>
      <c r="B99" s="132" t="str">
        <f>IF(B49="","",B49)</f>
        <v/>
      </c>
      <c r="C99" s="52">
        <f t="shared" si="45"/>
        <v>0</v>
      </c>
      <c r="D99" s="52">
        <f t="shared" si="46"/>
        <v>0</v>
      </c>
      <c r="E99" s="52">
        <f t="shared" si="47"/>
        <v>0</v>
      </c>
      <c r="F99" s="52">
        <f t="shared" si="48"/>
        <v>0</v>
      </c>
      <c r="G99" s="52">
        <f t="shared" si="49"/>
        <v>0</v>
      </c>
      <c r="H99" s="52">
        <f t="shared" si="50"/>
        <v>0</v>
      </c>
      <c r="I99" s="53">
        <f t="shared" si="51"/>
        <v>0</v>
      </c>
      <c r="J99" s="60">
        <f t="shared" si="52"/>
        <v>0</v>
      </c>
      <c r="K99" s="60">
        <f t="shared" si="53"/>
        <v>0</v>
      </c>
      <c r="L99" s="60">
        <f t="shared" si="54"/>
        <v>0</v>
      </c>
    </row>
    <row r="100" spans="1:12" x14ac:dyDescent="0.2">
      <c r="A100" s="9" t="s">
        <v>33</v>
      </c>
      <c r="B100" s="58">
        <f t="shared" ref="B100:L100" si="63">SUM(B90:B99)</f>
        <v>100</v>
      </c>
      <c r="C100" s="52">
        <f>SUM(C90:C99)</f>
        <v>0</v>
      </c>
      <c r="D100" s="52">
        <f t="shared" si="63"/>
        <v>0</v>
      </c>
      <c r="E100" s="52">
        <f t="shared" si="63"/>
        <v>0</v>
      </c>
      <c r="F100" s="52" t="e">
        <f t="shared" si="63"/>
        <v>#DIV/0!</v>
      </c>
      <c r="G100" s="52">
        <f t="shared" si="63"/>
        <v>0</v>
      </c>
      <c r="H100" s="52">
        <f t="shared" si="63"/>
        <v>0</v>
      </c>
      <c r="I100" s="53">
        <f t="shared" si="63"/>
        <v>0</v>
      </c>
      <c r="J100" s="53">
        <f t="shared" si="63"/>
        <v>0</v>
      </c>
      <c r="K100" s="53">
        <f t="shared" si="63"/>
        <v>0</v>
      </c>
      <c r="L100" s="53">
        <f t="shared" si="63"/>
        <v>0</v>
      </c>
    </row>
    <row r="101" spans="1:12" x14ac:dyDescent="0.2">
      <c r="A101" s="9" t="s">
        <v>34</v>
      </c>
      <c r="B101" s="37">
        <v>0</v>
      </c>
      <c r="C101" s="58"/>
      <c r="D101" s="58"/>
      <c r="E101" s="58"/>
      <c r="F101" s="58"/>
      <c r="G101" s="58"/>
      <c r="H101" s="58"/>
      <c r="I101" s="59"/>
      <c r="J101" s="59"/>
      <c r="K101" s="59"/>
      <c r="L101" s="61"/>
    </row>
    <row r="102" spans="1:12" x14ac:dyDescent="0.2">
      <c r="A102" s="9" t="s">
        <v>35</v>
      </c>
      <c r="B102" s="58">
        <f>B100-B100*B101/100</f>
        <v>100</v>
      </c>
      <c r="C102" s="52">
        <f>C100-B100*B101/100</f>
        <v>0</v>
      </c>
      <c r="D102" s="52">
        <f t="shared" ref="D102:L102" si="64">SUM(D90:D99)</f>
        <v>0</v>
      </c>
      <c r="E102" s="52">
        <f t="shared" si="64"/>
        <v>0</v>
      </c>
      <c r="F102" s="52" t="e">
        <f t="shared" si="64"/>
        <v>#DIV/0!</v>
      </c>
      <c r="G102" s="52">
        <f t="shared" si="64"/>
        <v>0</v>
      </c>
      <c r="H102" s="52">
        <f t="shared" si="64"/>
        <v>0</v>
      </c>
      <c r="I102" s="53">
        <f t="shared" si="64"/>
        <v>0</v>
      </c>
      <c r="J102" s="64">
        <f t="shared" si="64"/>
        <v>0</v>
      </c>
      <c r="K102" s="64">
        <f t="shared" si="64"/>
        <v>0</v>
      </c>
      <c r="L102" s="61">
        <f t="shared" si="64"/>
        <v>0</v>
      </c>
    </row>
    <row r="103" spans="1:12" ht="18" thickBot="1" x14ac:dyDescent="0.25">
      <c r="A103" s="65" t="s">
        <v>36</v>
      </c>
      <c r="B103" s="66" t="e">
        <f>SUM(C103:H103)</f>
        <v>#DIV/0!</v>
      </c>
      <c r="C103" s="66">
        <f>ROUND(+C102/B102*100,1)</f>
        <v>0</v>
      </c>
      <c r="D103" s="66">
        <f>ROUND(+D102/B102*100,1)</f>
        <v>0</v>
      </c>
      <c r="E103" s="66">
        <f>ROUND(+E102/B102*100,1)</f>
        <v>0</v>
      </c>
      <c r="F103" s="66" t="e">
        <f>ROUND(+F102/B102*100,1)</f>
        <v>#DIV/0!</v>
      </c>
      <c r="G103" s="66">
        <f>ROUND(+G102/B102*100,1)</f>
        <v>0</v>
      </c>
      <c r="H103" s="66">
        <f>ROUND(+H102/B102*100,1)</f>
        <v>0</v>
      </c>
      <c r="I103" s="95">
        <f>ROUND(+I102/B102*100,0)</f>
        <v>0</v>
      </c>
      <c r="J103" s="94">
        <f>ROUND(+J102/B102*100,2)</f>
        <v>0</v>
      </c>
      <c r="K103" s="94">
        <f>ROUND(+K102/B102*100,2)</f>
        <v>0</v>
      </c>
      <c r="L103" s="140">
        <f>ROUND(+L102/B102*100,0)</f>
        <v>0</v>
      </c>
    </row>
    <row r="104" spans="1:12" ht="18.75" thickTop="1" thickBot="1" x14ac:dyDescent="0.25">
      <c r="A104" s="67" t="s">
        <v>37</v>
      </c>
      <c r="B104" s="68" t="e">
        <f>SUM(C104:H104)</f>
        <v>#DIV/0!</v>
      </c>
      <c r="C104" s="154"/>
      <c r="D104" s="154"/>
      <c r="E104" s="154"/>
      <c r="F104" s="69" t="e">
        <f>F103+100-B103</f>
        <v>#DIV/0!</v>
      </c>
      <c r="G104" s="151"/>
      <c r="H104" s="151"/>
      <c r="I104" s="152"/>
      <c r="J104" s="153"/>
      <c r="K104" s="153"/>
      <c r="L104" s="152"/>
    </row>
    <row r="105" spans="1:12" ht="18.75" thickTop="1" thickBot="1" x14ac:dyDescent="0.25">
      <c r="A105" s="70"/>
      <c r="B105" s="71"/>
      <c r="C105" s="72"/>
      <c r="D105" s="72"/>
      <c r="E105" s="72"/>
      <c r="F105" s="73" t="s">
        <v>20</v>
      </c>
      <c r="G105" s="74"/>
      <c r="H105" s="72"/>
      <c r="I105" s="72"/>
      <c r="J105" s="72"/>
      <c r="K105" s="72"/>
      <c r="L105" s="8"/>
    </row>
    <row r="106" spans="1:12" ht="18.75" thickTop="1" thickBot="1" x14ac:dyDescent="0.25">
      <c r="A106" s="133" t="s">
        <v>72</v>
      </c>
      <c r="B106" s="135"/>
      <c r="C106" s="137" t="str">
        <f>IF(COUNTIF(A6,"*ｾﾌﾞﾝﾌﾟﾚﾐｱﾑ*")+COUNTIF(A6,"*7P*"),"7P 複数個入り注意!!","")</f>
        <v/>
      </c>
      <c r="D106" s="72"/>
      <c r="E106" s="72"/>
      <c r="F106" s="75" t="e">
        <f>SUM(F104:G104)</f>
        <v>#DIV/0!</v>
      </c>
      <c r="G106" s="72"/>
      <c r="H106" s="160" t="s">
        <v>92</v>
      </c>
      <c r="I106" s="161">
        <v>115</v>
      </c>
      <c r="J106" s="72"/>
      <c r="K106" s="72"/>
      <c r="L106" s="8"/>
    </row>
    <row r="107" spans="1:12" ht="18.75" thickBot="1" x14ac:dyDescent="0.25">
      <c r="A107" s="2"/>
      <c r="B107" s="2"/>
      <c r="C107" s="2"/>
      <c r="D107" s="2"/>
      <c r="E107" s="76"/>
      <c r="F107" s="77"/>
      <c r="G107" s="2"/>
      <c r="H107" s="162" t="s">
        <v>93</v>
      </c>
      <c r="I107" s="163">
        <v>103</v>
      </c>
      <c r="J107" s="2"/>
      <c r="K107" s="2"/>
      <c r="L107" s="3"/>
    </row>
    <row r="108" spans="1:12" ht="18.75" thickBot="1" x14ac:dyDescent="0.25">
      <c r="A108" s="78" t="s">
        <v>39</v>
      </c>
      <c r="B108" s="79"/>
      <c r="C108" s="80" t="e">
        <f>ROUND(+D104*4+E104*9+F104*4+G104*2,0)</f>
        <v>#DIV/0!</v>
      </c>
      <c r="D108" s="78" t="s">
        <v>40</v>
      </c>
      <c r="E108" s="81"/>
      <c r="F108" s="76"/>
      <c r="G108" s="2"/>
      <c r="H108" s="164" t="s">
        <v>94</v>
      </c>
      <c r="I108" s="165">
        <v>10.5</v>
      </c>
      <c r="J108" s="2"/>
      <c r="K108" s="2"/>
      <c r="L108" s="3"/>
    </row>
    <row r="109" spans="1:12" ht="18" thickTop="1" x14ac:dyDescent="0.2">
      <c r="A109" s="2"/>
      <c r="B109" s="82"/>
      <c r="C109" s="82"/>
      <c r="D109" s="82"/>
      <c r="G109" s="82"/>
      <c r="H109" s="82"/>
      <c r="I109" s="82"/>
      <c r="J109" s="82"/>
      <c r="K109" s="82"/>
      <c r="L109" s="3"/>
    </row>
    <row r="110" spans="1:12" x14ac:dyDescent="0.2">
      <c r="A110" s="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3"/>
    </row>
    <row r="111" spans="1:12" x14ac:dyDescent="0.2">
      <c r="A111" s="2"/>
      <c r="B111" s="82"/>
      <c r="C111" s="103" t="s">
        <v>47</v>
      </c>
      <c r="D111" s="82"/>
      <c r="E111" s="82"/>
      <c r="F111" s="82"/>
      <c r="G111" s="82"/>
      <c r="H111" s="82"/>
      <c r="I111" s="82"/>
      <c r="J111" s="82"/>
      <c r="K111" s="82"/>
      <c r="L111" s="3"/>
    </row>
    <row r="112" spans="1:12" x14ac:dyDescent="0.2">
      <c r="A112" s="2"/>
      <c r="B112" s="82"/>
      <c r="C112" s="104" t="s">
        <v>48</v>
      </c>
      <c r="D112" s="104" t="s">
        <v>17</v>
      </c>
      <c r="E112" s="104" t="s">
        <v>18</v>
      </c>
      <c r="F112" s="104" t="s">
        <v>20</v>
      </c>
      <c r="G112" s="104" t="s">
        <v>21</v>
      </c>
      <c r="H112" s="104" t="s">
        <v>12</v>
      </c>
      <c r="I112" s="104" t="s">
        <v>49</v>
      </c>
      <c r="J112" s="104" t="s">
        <v>50</v>
      </c>
      <c r="K112" s="82"/>
      <c r="L112" s="3"/>
    </row>
    <row r="113" spans="1:14" x14ac:dyDescent="0.2">
      <c r="A113" s="2"/>
      <c r="B113" s="82"/>
      <c r="C113" s="105" t="e">
        <f>AG14</f>
        <v>#DIV/0!</v>
      </c>
      <c r="D113" s="106">
        <f>AG15</f>
        <v>0</v>
      </c>
      <c r="E113" s="106">
        <f>AG16</f>
        <v>0</v>
      </c>
      <c r="F113" s="107" t="e">
        <f>AG20</f>
        <v>#DIV/0!</v>
      </c>
      <c r="G113" s="108">
        <f>AG23</f>
        <v>0</v>
      </c>
      <c r="H113" s="109">
        <f>AG17</f>
        <v>0</v>
      </c>
      <c r="I113" s="108">
        <f>IF(AG13&gt;=100,AG18,IF(AE18&lt;0.3,0,AG18))</f>
        <v>0</v>
      </c>
      <c r="J113" s="110">
        <f>IF(AE19&lt;5,0,AG19)</f>
        <v>0</v>
      </c>
      <c r="K113" s="82"/>
      <c r="L113" s="3"/>
    </row>
    <row r="114" spans="1:14" x14ac:dyDescent="0.2">
      <c r="A114" s="2"/>
      <c r="B114" s="82"/>
      <c r="C114" s="111" t="s">
        <v>51</v>
      </c>
      <c r="D114" s="112" t="s">
        <v>52</v>
      </c>
      <c r="E114" s="112" t="s">
        <v>52</v>
      </c>
      <c r="F114" s="113" t="s">
        <v>52</v>
      </c>
      <c r="G114" s="112" t="s">
        <v>52</v>
      </c>
      <c r="H114" s="113" t="s">
        <v>52</v>
      </c>
      <c r="I114" s="112" t="s">
        <v>52</v>
      </c>
      <c r="J114" s="114" t="s">
        <v>53</v>
      </c>
      <c r="K114" s="82"/>
      <c r="L114" s="3"/>
    </row>
    <row r="115" spans="1:14" x14ac:dyDescent="0.2">
      <c r="A115" s="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3"/>
    </row>
    <row r="117" spans="1:14" x14ac:dyDescent="0.2">
      <c r="A117" s="92"/>
      <c r="C117" s="103" t="s">
        <v>77</v>
      </c>
    </row>
    <row r="118" spans="1:14" ht="18" thickBot="1" x14ac:dyDescent="0.25">
      <c r="A118" s="92"/>
      <c r="C118" s="180" t="e">
        <f>"1"&amp;$G$6&amp;""</f>
        <v>#VALUE!</v>
      </c>
      <c r="D118" s="180"/>
      <c r="E118" s="180"/>
      <c r="F118" s="180"/>
      <c r="G118" s="180"/>
      <c r="H118" s="180"/>
      <c r="I118" s="181"/>
      <c r="J118" s="180"/>
      <c r="K118" s="180"/>
      <c r="L118" s="180"/>
      <c r="M118" s="182" t="s">
        <v>78</v>
      </c>
      <c r="N118" s="182"/>
    </row>
    <row r="119" spans="1:14" ht="18.75" thickTop="1" thickBot="1" x14ac:dyDescent="0.25">
      <c r="A119" s="115"/>
      <c r="C119" s="183" t="s">
        <v>79</v>
      </c>
      <c r="D119" s="183"/>
      <c r="E119" s="183"/>
      <c r="F119" s="183"/>
      <c r="G119" s="183"/>
      <c r="H119" s="183"/>
      <c r="I119" s="184"/>
      <c r="J119" s="183"/>
      <c r="K119" s="185">
        <f>B106</f>
        <v>0</v>
      </c>
      <c r="L119" s="186"/>
      <c r="M119" s="186"/>
      <c r="N119" s="186"/>
    </row>
    <row r="120" spans="1:14" ht="18.75" thickTop="1" thickBot="1" x14ac:dyDescent="0.25">
      <c r="A120" s="92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</row>
    <row r="121" spans="1:14" x14ac:dyDescent="0.2">
      <c r="C121" s="187" t="s">
        <v>48</v>
      </c>
      <c r="D121" s="187"/>
      <c r="E121" s="187"/>
      <c r="F121" s="187"/>
      <c r="G121" s="187"/>
      <c r="H121" s="188"/>
      <c r="I121" s="189" t="e">
        <f t="shared" ref="I121:I130" si="65">AG14</f>
        <v>#DIV/0!</v>
      </c>
      <c r="J121" s="190"/>
      <c r="K121" s="190"/>
      <c r="L121" s="191"/>
      <c r="M121" s="144" t="s">
        <v>51</v>
      </c>
      <c r="N121" s="145"/>
    </row>
    <row r="122" spans="1:14" x14ac:dyDescent="0.2">
      <c r="C122" s="192" t="s">
        <v>83</v>
      </c>
      <c r="D122" s="192"/>
      <c r="E122" s="192"/>
      <c r="F122" s="192"/>
      <c r="G122" s="192"/>
      <c r="H122" s="193"/>
      <c r="I122" s="194">
        <f t="shared" si="65"/>
        <v>0</v>
      </c>
      <c r="J122" s="195"/>
      <c r="K122" s="195"/>
      <c r="L122" s="196"/>
      <c r="M122" s="146" t="s">
        <v>61</v>
      </c>
      <c r="N122" s="147"/>
    </row>
    <row r="123" spans="1:14" x14ac:dyDescent="0.2">
      <c r="C123" s="192" t="s">
        <v>84</v>
      </c>
      <c r="D123" s="192"/>
      <c r="E123" s="192"/>
      <c r="F123" s="192"/>
      <c r="G123" s="192"/>
      <c r="H123" s="193"/>
      <c r="I123" s="194">
        <f t="shared" si="65"/>
        <v>0</v>
      </c>
      <c r="J123" s="195"/>
      <c r="K123" s="195"/>
      <c r="L123" s="196"/>
      <c r="M123" s="146" t="s">
        <v>61</v>
      </c>
      <c r="N123" s="147"/>
    </row>
    <row r="124" spans="1:14" x14ac:dyDescent="0.2">
      <c r="C124" s="192" t="s">
        <v>85</v>
      </c>
      <c r="D124" s="192"/>
      <c r="E124" s="192"/>
      <c r="F124" s="192"/>
      <c r="G124" s="192"/>
      <c r="H124" s="193"/>
      <c r="I124" s="197">
        <f t="shared" si="65"/>
        <v>0</v>
      </c>
      <c r="J124" s="198"/>
      <c r="K124" s="198"/>
      <c r="L124" s="199"/>
      <c r="M124" s="146" t="s">
        <v>80</v>
      </c>
      <c r="N124" s="147"/>
    </row>
    <row r="125" spans="1:14" x14ac:dyDescent="0.2">
      <c r="C125" s="192" t="s">
        <v>86</v>
      </c>
      <c r="D125" s="192"/>
      <c r="E125" s="192"/>
      <c r="F125" s="192"/>
      <c r="G125" s="192"/>
      <c r="H125" s="193"/>
      <c r="I125" s="200">
        <f t="shared" si="65"/>
        <v>0</v>
      </c>
      <c r="J125" s="201"/>
      <c r="K125" s="201"/>
      <c r="L125" s="202"/>
      <c r="M125" s="146" t="s">
        <v>61</v>
      </c>
      <c r="N125" s="147"/>
    </row>
    <row r="126" spans="1:14" x14ac:dyDescent="0.2">
      <c r="C126" s="192" t="s">
        <v>87</v>
      </c>
      <c r="D126" s="192"/>
      <c r="E126" s="192"/>
      <c r="F126" s="192"/>
      <c r="G126" s="192"/>
      <c r="H126" s="193"/>
      <c r="I126" s="200">
        <f t="shared" si="65"/>
        <v>0</v>
      </c>
      <c r="J126" s="201"/>
      <c r="K126" s="201"/>
      <c r="L126" s="202"/>
      <c r="M126" s="146" t="s">
        <v>62</v>
      </c>
      <c r="N126" s="147"/>
    </row>
    <row r="127" spans="1:14" x14ac:dyDescent="0.2">
      <c r="C127" s="192" t="s">
        <v>81</v>
      </c>
      <c r="D127" s="192"/>
      <c r="E127" s="192"/>
      <c r="F127" s="192"/>
      <c r="G127" s="192"/>
      <c r="H127" s="193"/>
      <c r="I127" s="194" t="e">
        <f t="shared" si="65"/>
        <v>#DIV/0!</v>
      </c>
      <c r="J127" s="195"/>
      <c r="K127" s="195"/>
      <c r="L127" s="196"/>
      <c r="M127" s="146" t="s">
        <v>61</v>
      </c>
      <c r="N127" s="147"/>
    </row>
    <row r="128" spans="1:14" x14ac:dyDescent="0.2">
      <c r="C128" s="192" t="s">
        <v>88</v>
      </c>
      <c r="D128" s="192"/>
      <c r="E128" s="192"/>
      <c r="F128" s="192"/>
      <c r="G128" s="192"/>
      <c r="H128" s="193"/>
      <c r="I128" s="194" t="e">
        <f t="shared" si="65"/>
        <v>#DIV/0!</v>
      </c>
      <c r="J128" s="195"/>
      <c r="K128" s="195"/>
      <c r="L128" s="196"/>
      <c r="M128" s="146" t="s">
        <v>61</v>
      </c>
      <c r="N128" s="147"/>
    </row>
    <row r="129" spans="3:14" x14ac:dyDescent="0.2">
      <c r="C129" s="192" t="s">
        <v>89</v>
      </c>
      <c r="D129" s="192"/>
      <c r="E129" s="192"/>
      <c r="F129" s="192"/>
      <c r="G129" s="192"/>
      <c r="H129" s="193"/>
      <c r="I129" s="194">
        <f t="shared" si="65"/>
        <v>0</v>
      </c>
      <c r="J129" s="195"/>
      <c r="K129" s="195"/>
      <c r="L129" s="196"/>
      <c r="M129" s="146" t="s">
        <v>61</v>
      </c>
      <c r="N129" s="147"/>
    </row>
    <row r="130" spans="3:14" x14ac:dyDescent="0.2">
      <c r="C130" s="192" t="s">
        <v>82</v>
      </c>
      <c r="D130" s="192"/>
      <c r="E130" s="192"/>
      <c r="F130" s="192"/>
      <c r="G130" s="192"/>
      <c r="H130" s="193"/>
      <c r="I130" s="194">
        <f t="shared" si="65"/>
        <v>0</v>
      </c>
      <c r="J130" s="195"/>
      <c r="K130" s="195"/>
      <c r="L130" s="196"/>
      <c r="M130" s="146" t="s">
        <v>61</v>
      </c>
      <c r="N130" s="147"/>
    </row>
  </sheetData>
  <mergeCells count="32">
    <mergeCell ref="C129:H129"/>
    <mergeCell ref="I129:L129"/>
    <mergeCell ref="C130:H130"/>
    <mergeCell ref="I130:L130"/>
    <mergeCell ref="C126:H126"/>
    <mergeCell ref="I126:L126"/>
    <mergeCell ref="C127:H127"/>
    <mergeCell ref="I127:L127"/>
    <mergeCell ref="C128:H128"/>
    <mergeCell ref="I128:L128"/>
    <mergeCell ref="C123:H123"/>
    <mergeCell ref="I123:L123"/>
    <mergeCell ref="C124:H124"/>
    <mergeCell ref="I124:L124"/>
    <mergeCell ref="C125:H125"/>
    <mergeCell ref="I125:L125"/>
    <mergeCell ref="C119:J119"/>
    <mergeCell ref="K119:N119"/>
    <mergeCell ref="C121:H121"/>
    <mergeCell ref="I121:L121"/>
    <mergeCell ref="C122:H122"/>
    <mergeCell ref="I122:L122"/>
    <mergeCell ref="A5:E5"/>
    <mergeCell ref="A6:E6"/>
    <mergeCell ref="AB7:AI7"/>
    <mergeCell ref="C118:L118"/>
    <mergeCell ref="M118:N118"/>
    <mergeCell ref="G4:H4"/>
    <mergeCell ref="AE12:AE13"/>
    <mergeCell ref="AA31:AJ31"/>
    <mergeCell ref="AG12:AI12"/>
    <mergeCell ref="AK12:AK13"/>
  </mergeCells>
  <phoneticPr fontId="3"/>
  <conditionalFormatting sqref="AA31:AJ31">
    <cfRule type="expression" dxfId="7" priority="26" stopIfTrue="1">
      <formula>NOT(AA31="この表示値は、目安です。")</formula>
    </cfRule>
  </conditionalFormatting>
  <conditionalFormatting sqref="AG12:AI12">
    <cfRule type="expression" dxfId="6" priority="24" stopIfTrue="1">
      <formula>NOT(AG12="1個当たり")</formula>
    </cfRule>
  </conditionalFormatting>
  <conditionalFormatting sqref="AE26">
    <cfRule type="expression" dxfId="5" priority="21" stopIfTrue="1">
      <formula>IF($A$4="蒸し物",IF($AE$26&lt;30,TRUE,FALSE),FALSE)</formula>
    </cfRule>
  </conditionalFormatting>
  <conditionalFormatting sqref="Z18">
    <cfRule type="expression" dxfId="4" priority="9" stopIfTrue="1">
      <formula>COUNTIF($Z$18,"*2")</formula>
    </cfRule>
  </conditionalFormatting>
  <conditionalFormatting sqref="Z17">
    <cfRule type="expression" dxfId="3" priority="8" stopIfTrue="1">
      <formula>COUNTIF($Z$17,"*1")</formula>
    </cfRule>
  </conditionalFormatting>
  <conditionalFormatting sqref="AA1:AB1048576 AJ1:AJ1048576 AC1:AI6 AC8:AI1048576">
    <cfRule type="expression" dxfId="2" priority="4" stopIfTrue="1">
      <formula>$A$2="出力なし"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C117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opy87">
          <controlPr defaultSize="0" autoLine="0" autoPict="0" r:id="rId5">
            <anchor moveWithCells="1" sizeWithCells="1">
              <from>
                <xdr:col>13</xdr:col>
                <xdr:colOff>57150</xdr:colOff>
                <xdr:row>86</xdr:row>
                <xdr:rowOff>0</xdr:rowOff>
              </from>
              <to>
                <xdr:col>19</xdr:col>
                <xdr:colOff>9525</xdr:colOff>
                <xdr:row>87</xdr:row>
                <xdr:rowOff>57150</xdr:rowOff>
              </to>
            </anchor>
          </controlPr>
        </control>
      </mc:Choice>
      <mc:Fallback>
        <control shapeId="1025" r:id="rId4" name="cmdCopy87"/>
      </mc:Fallback>
    </mc:AlternateContent>
    <mc:AlternateContent xmlns:mc="http://schemas.openxmlformats.org/markup-compatibility/2006">
      <mc:Choice Requires="x14">
        <control shapeId="1026" r:id="rId6" name="cmdClear87">
          <controlPr defaultSize="0" autoLine="0" autoPict="0" r:id="rId7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1026" r:id="rId6" name="cmdClear87"/>
      </mc:Fallback>
    </mc:AlternateContent>
    <mc:AlternateContent xmlns:mc="http://schemas.openxmlformats.org/markup-compatibility/2006">
      <mc:Choice Requires="x14">
        <control shapeId="1027" r:id="rId8" name="cmdCopy104">
          <controlPr defaultSize="0" autoLine="0" autoPict="0" r:id="rId9">
            <anchor moveWithCells="1" sizeWithCells="1">
              <from>
                <xdr:col>13</xdr:col>
                <xdr:colOff>57150</xdr:colOff>
                <xdr:row>103</xdr:row>
                <xdr:rowOff>0</xdr:rowOff>
              </from>
              <to>
                <xdr:col>19</xdr:col>
                <xdr:colOff>9525</xdr:colOff>
                <xdr:row>104</xdr:row>
                <xdr:rowOff>47625</xdr:rowOff>
              </to>
            </anchor>
          </controlPr>
        </control>
      </mc:Choice>
      <mc:Fallback>
        <control shapeId="1027" r:id="rId8" name="cmdCopy104"/>
      </mc:Fallback>
    </mc:AlternateContent>
    <mc:AlternateContent xmlns:mc="http://schemas.openxmlformats.org/markup-compatibility/2006">
      <mc:Choice Requires="x14">
        <control shapeId="1028" r:id="rId10" name="cmdClear104">
          <controlPr defaultSize="0" autoLine="0" autoPict="0" r:id="rId11">
            <anchor moveWithCells="1" sizeWithCells="1">
              <from>
                <xdr:col>22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1028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2020-06-10T05:08:40Z</cp:lastPrinted>
  <dcterms:created xsi:type="dcterms:W3CDTF">1999-12-02T04:43:04Z</dcterms:created>
  <dcterms:modified xsi:type="dcterms:W3CDTF">2026-05-18T04:56:55Z</dcterms:modified>
</cp:coreProperties>
</file>