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20550" windowHeight="3870" tabRatio="763"/>
  </bookViews>
  <sheets>
    <sheet name="糖類＋食物繊維+その他成分" sheetId="26" r:id="rId1"/>
    <sheet name="（例）ふわりｼﾌｫﾝいちご" sheetId="21" r:id="rId2"/>
  </sheets>
  <functionGroups builtInGroupCount="17"/>
  <definedNames>
    <definedName name="_xlnm.Print_Area" localSheetId="1">'（例）ふわりｼﾌｫﾝいちご'!$AA$2:$AJ$41</definedName>
    <definedName name="_xlnm.Print_Area" localSheetId="0">'糖類＋食物繊維+その他成分'!$AA$5:$AJ$41,'糖類＋食物繊維+その他成分'!$AQ$11:$AW$27</definedName>
  </definedNames>
  <calcPr calcId="145621"/>
</workbook>
</file>

<file path=xl/calcChain.xml><?xml version="1.0" encoding="utf-8"?>
<calcChain xmlns="http://schemas.openxmlformats.org/spreadsheetml/2006/main">
  <c r="Z27" i="26" l="1"/>
  <c r="Z28" i="26" l="1"/>
  <c r="Z17" i="26" l="1"/>
  <c r="AG22" i="26" l="1"/>
  <c r="K113" i="26" l="1"/>
  <c r="AE37" i="26" l="1"/>
  <c r="C106" i="26"/>
  <c r="H99" i="26"/>
  <c r="B99" i="26"/>
  <c r="A99" i="26"/>
  <c r="N98" i="26"/>
  <c r="M98" i="26"/>
  <c r="K98" i="26"/>
  <c r="I98" i="26"/>
  <c r="H98" i="26"/>
  <c r="G98" i="26"/>
  <c r="F98" i="26"/>
  <c r="E98" i="26"/>
  <c r="C98" i="26"/>
  <c r="B98" i="26"/>
  <c r="L98" i="26" s="1"/>
  <c r="A98" i="26"/>
  <c r="N97" i="26"/>
  <c r="M97" i="26"/>
  <c r="L97" i="26"/>
  <c r="K97" i="26"/>
  <c r="I97" i="26"/>
  <c r="H97" i="26"/>
  <c r="G97" i="26"/>
  <c r="F97" i="26"/>
  <c r="E97" i="26"/>
  <c r="D97" i="26"/>
  <c r="C97" i="26"/>
  <c r="B97" i="26"/>
  <c r="J97" i="26" s="1"/>
  <c r="A97" i="26"/>
  <c r="L96" i="26"/>
  <c r="K96" i="26"/>
  <c r="J96" i="26"/>
  <c r="E96" i="26"/>
  <c r="D96" i="26"/>
  <c r="C96" i="26"/>
  <c r="B96" i="26"/>
  <c r="I96" i="26" s="1"/>
  <c r="A96" i="26"/>
  <c r="K95" i="26"/>
  <c r="H95" i="26"/>
  <c r="G95" i="26"/>
  <c r="B95" i="26"/>
  <c r="J95" i="26" s="1"/>
  <c r="A95" i="26"/>
  <c r="N94" i="26"/>
  <c r="M94" i="26"/>
  <c r="K94" i="26"/>
  <c r="I94" i="26"/>
  <c r="H94" i="26"/>
  <c r="G94" i="26"/>
  <c r="F94" i="26"/>
  <c r="E94" i="26"/>
  <c r="C94" i="26"/>
  <c r="B94" i="26"/>
  <c r="L94" i="26" s="1"/>
  <c r="A94" i="26"/>
  <c r="N93" i="26"/>
  <c r="M93" i="26"/>
  <c r="L93" i="26"/>
  <c r="K93" i="26"/>
  <c r="I93" i="26"/>
  <c r="H93" i="26"/>
  <c r="G93" i="26"/>
  <c r="F93" i="26"/>
  <c r="E93" i="26"/>
  <c r="D93" i="26"/>
  <c r="C93" i="26"/>
  <c r="B93" i="26"/>
  <c r="J93" i="26" s="1"/>
  <c r="A93" i="26"/>
  <c r="B92" i="26"/>
  <c r="K92" i="26" s="1"/>
  <c r="A92" i="26"/>
  <c r="B91" i="26"/>
  <c r="M91" i="26" s="1"/>
  <c r="A91" i="26"/>
  <c r="B90" i="26"/>
  <c r="L90" i="26" s="1"/>
  <c r="N89" i="26"/>
  <c r="M89" i="26"/>
  <c r="N82" i="26"/>
  <c r="I82" i="26"/>
  <c r="H82" i="26"/>
  <c r="G82" i="26"/>
  <c r="F82" i="26"/>
  <c r="E82" i="26"/>
  <c r="C82" i="26"/>
  <c r="B82" i="26"/>
  <c r="L82" i="26" s="1"/>
  <c r="A82" i="26"/>
  <c r="N81" i="26"/>
  <c r="M81" i="26"/>
  <c r="L81" i="26"/>
  <c r="K81" i="26"/>
  <c r="I81" i="26"/>
  <c r="H81" i="26"/>
  <c r="G81" i="26"/>
  <c r="F81" i="26"/>
  <c r="E81" i="26"/>
  <c r="D81" i="26"/>
  <c r="C81" i="26"/>
  <c r="B81" i="26"/>
  <c r="J81" i="26" s="1"/>
  <c r="A81" i="26"/>
  <c r="K80" i="26"/>
  <c r="J80" i="26"/>
  <c r="E80" i="26"/>
  <c r="D80" i="26"/>
  <c r="B80" i="26"/>
  <c r="A80" i="26"/>
  <c r="B79" i="26"/>
  <c r="A79" i="26"/>
  <c r="N78" i="26"/>
  <c r="M78" i="26"/>
  <c r="K78" i="26"/>
  <c r="I78" i="26"/>
  <c r="H78" i="26"/>
  <c r="G78" i="26"/>
  <c r="F78" i="26"/>
  <c r="E78" i="26"/>
  <c r="C78" i="26"/>
  <c r="B78" i="26"/>
  <c r="L78" i="26" s="1"/>
  <c r="A78" i="26"/>
  <c r="N77" i="26"/>
  <c r="M77" i="26"/>
  <c r="L77" i="26"/>
  <c r="K77" i="26"/>
  <c r="I77" i="26"/>
  <c r="H77" i="26"/>
  <c r="G77" i="26"/>
  <c r="F77" i="26"/>
  <c r="E77" i="26"/>
  <c r="D77" i="26"/>
  <c r="C77" i="26"/>
  <c r="B77" i="26"/>
  <c r="J77" i="26" s="1"/>
  <c r="A77" i="26"/>
  <c r="K76" i="26"/>
  <c r="G76" i="26"/>
  <c r="E76" i="26"/>
  <c r="B76" i="26"/>
  <c r="J76" i="26" s="1"/>
  <c r="A76" i="26"/>
  <c r="K75" i="26"/>
  <c r="J75" i="26"/>
  <c r="I75" i="26"/>
  <c r="H75" i="26"/>
  <c r="G75" i="26"/>
  <c r="E75" i="26"/>
  <c r="C75" i="26"/>
  <c r="B75" i="26"/>
  <c r="A75" i="26"/>
  <c r="N74" i="26"/>
  <c r="M74" i="26"/>
  <c r="K74" i="26"/>
  <c r="I74" i="26"/>
  <c r="H74" i="26"/>
  <c r="G74" i="26"/>
  <c r="F74" i="26"/>
  <c r="E74" i="26"/>
  <c r="C74" i="26"/>
  <c r="B74" i="26"/>
  <c r="L74" i="26" s="1"/>
  <c r="A74" i="26"/>
  <c r="N73" i="26"/>
  <c r="M73" i="26"/>
  <c r="L73" i="26"/>
  <c r="K73" i="26"/>
  <c r="I73" i="26"/>
  <c r="G73" i="26"/>
  <c r="F73" i="26"/>
  <c r="E73" i="26"/>
  <c r="D73" i="26"/>
  <c r="C73" i="26"/>
  <c r="B73" i="26"/>
  <c r="J73" i="26" s="1"/>
  <c r="A73" i="26"/>
  <c r="K72" i="26"/>
  <c r="E72" i="26"/>
  <c r="B72" i="26"/>
  <c r="A72" i="26"/>
  <c r="K71" i="26"/>
  <c r="J71" i="26"/>
  <c r="I71" i="26"/>
  <c r="G71" i="26"/>
  <c r="E71" i="26"/>
  <c r="C71" i="26"/>
  <c r="B71" i="26"/>
  <c r="H71" i="26" s="1"/>
  <c r="A71" i="26"/>
  <c r="N70" i="26"/>
  <c r="M70" i="26"/>
  <c r="K70" i="26"/>
  <c r="I70" i="26"/>
  <c r="H70" i="26"/>
  <c r="G70" i="26"/>
  <c r="F70" i="26"/>
  <c r="E70" i="26"/>
  <c r="C70" i="26"/>
  <c r="B70" i="26"/>
  <c r="L70" i="26" s="1"/>
  <c r="A70" i="26"/>
  <c r="N69" i="26"/>
  <c r="M69" i="26"/>
  <c r="L69" i="26"/>
  <c r="K69" i="26"/>
  <c r="I69" i="26"/>
  <c r="G69" i="26"/>
  <c r="F69" i="26"/>
  <c r="E69" i="26"/>
  <c r="D69" i="26"/>
  <c r="C69" i="26"/>
  <c r="B69" i="26"/>
  <c r="J69" i="26" s="1"/>
  <c r="A69" i="26"/>
  <c r="K68" i="26"/>
  <c r="G68" i="26"/>
  <c r="E68" i="26"/>
  <c r="B68" i="26"/>
  <c r="J68" i="26" s="1"/>
  <c r="A68" i="26"/>
  <c r="K67" i="26"/>
  <c r="G67" i="26"/>
  <c r="B67" i="26"/>
  <c r="J67" i="26" s="1"/>
  <c r="A67" i="26"/>
  <c r="K66" i="26"/>
  <c r="I66" i="26"/>
  <c r="F66" i="26"/>
  <c r="E66" i="26"/>
  <c r="B66" i="26"/>
  <c r="L66" i="26" s="1"/>
  <c r="A66" i="26"/>
  <c r="N65" i="26"/>
  <c r="K65" i="26"/>
  <c r="I65" i="26"/>
  <c r="F65" i="26"/>
  <c r="E65" i="26"/>
  <c r="D65" i="26"/>
  <c r="B65" i="26"/>
  <c r="J65" i="26" s="1"/>
  <c r="A65" i="26"/>
  <c r="K64" i="26"/>
  <c r="B64" i="26"/>
  <c r="E64" i="26" s="1"/>
  <c r="A64" i="26"/>
  <c r="K63" i="26"/>
  <c r="G63" i="26"/>
  <c r="E63" i="26"/>
  <c r="B63" i="26"/>
  <c r="H63" i="26" s="1"/>
  <c r="A63" i="26"/>
  <c r="N62" i="26"/>
  <c r="K62" i="26"/>
  <c r="I62" i="26"/>
  <c r="H62" i="26"/>
  <c r="F62" i="26"/>
  <c r="E62" i="26"/>
  <c r="C62" i="26"/>
  <c r="B62" i="26"/>
  <c r="L62" i="26" s="1"/>
  <c r="A62" i="26"/>
  <c r="N61" i="26"/>
  <c r="M61" i="26"/>
  <c r="K61" i="26"/>
  <c r="I61" i="26"/>
  <c r="G61" i="26"/>
  <c r="F61" i="26"/>
  <c r="E61" i="26"/>
  <c r="D61" i="26"/>
  <c r="C61" i="26"/>
  <c r="B61" i="26"/>
  <c r="J61" i="26" s="1"/>
  <c r="A61" i="26"/>
  <c r="K60" i="26"/>
  <c r="G60" i="26"/>
  <c r="B60" i="26"/>
  <c r="J60" i="26" s="1"/>
  <c r="A60" i="26"/>
  <c r="K59" i="26"/>
  <c r="G59" i="26"/>
  <c r="B59" i="26"/>
  <c r="J59" i="26" s="1"/>
  <c r="A59" i="26"/>
  <c r="K58" i="26"/>
  <c r="I58" i="26"/>
  <c r="F58" i="26"/>
  <c r="E58" i="26"/>
  <c r="B58" i="26"/>
  <c r="L58" i="26" s="1"/>
  <c r="A58" i="26"/>
  <c r="N57" i="26"/>
  <c r="K57" i="26"/>
  <c r="I57" i="26"/>
  <c r="F57" i="26"/>
  <c r="E57" i="26"/>
  <c r="D57" i="26"/>
  <c r="B57" i="26"/>
  <c r="J57" i="26" s="1"/>
  <c r="A57" i="26"/>
  <c r="L56" i="26"/>
  <c r="B56" i="26"/>
  <c r="K56" i="26" s="1"/>
  <c r="A56" i="26"/>
  <c r="I55" i="26"/>
  <c r="G55" i="26"/>
  <c r="B55" i="26"/>
  <c r="H55" i="26" s="1"/>
  <c r="A55" i="26"/>
  <c r="K54" i="26"/>
  <c r="I54" i="26"/>
  <c r="G54" i="26"/>
  <c r="F54" i="26"/>
  <c r="E54" i="26"/>
  <c r="B54" i="26"/>
  <c r="L54" i="26" s="1"/>
  <c r="A54" i="26"/>
  <c r="N53" i="26"/>
  <c r="K53" i="26"/>
  <c r="I53" i="26"/>
  <c r="E53" i="26"/>
  <c r="D53" i="26"/>
  <c r="B53" i="26"/>
  <c r="J53" i="26" s="1"/>
  <c r="A53" i="26"/>
  <c r="N52" i="26"/>
  <c r="M52" i="26"/>
  <c r="O49" i="26"/>
  <c r="O48" i="26"/>
  <c r="O47" i="26"/>
  <c r="O46" i="26"/>
  <c r="O45" i="26"/>
  <c r="O44" i="26"/>
  <c r="O43" i="26"/>
  <c r="O42" i="26"/>
  <c r="O41" i="26"/>
  <c r="AA40" i="26"/>
  <c r="O40" i="26"/>
  <c r="AA39" i="26"/>
  <c r="N39" i="26"/>
  <c r="M39" i="26"/>
  <c r="AA38" i="26"/>
  <c r="O37" i="26"/>
  <c r="O36" i="26"/>
  <c r="O35" i="26"/>
  <c r="O34" i="26"/>
  <c r="O33" i="26"/>
  <c r="O32" i="26"/>
  <c r="O31" i="26"/>
  <c r="O30" i="26"/>
  <c r="AE29" i="26"/>
  <c r="O29" i="26"/>
  <c r="AE28" i="26"/>
  <c r="O28" i="26"/>
  <c r="AE27" i="26"/>
  <c r="O27" i="26"/>
  <c r="AE26" i="26"/>
  <c r="O26" i="26"/>
  <c r="AE25" i="26"/>
  <c r="O25" i="26"/>
  <c r="AE24" i="26"/>
  <c r="AE22" i="26" s="1"/>
  <c r="O24" i="26"/>
  <c r="O23" i="26"/>
  <c r="O22" i="26"/>
  <c r="AE21" i="26"/>
  <c r="O21" i="26"/>
  <c r="AE20" i="26"/>
  <c r="O20" i="26"/>
  <c r="O19" i="26"/>
  <c r="O18" i="26"/>
  <c r="AE17" i="26"/>
  <c r="O17" i="26"/>
  <c r="AE16" i="26"/>
  <c r="O16" i="26"/>
  <c r="AE15" i="26"/>
  <c r="O15" i="26"/>
  <c r="AY14" i="26"/>
  <c r="AR14" i="26"/>
  <c r="AA14" i="26"/>
  <c r="O14" i="26"/>
  <c r="O13" i="26"/>
  <c r="AG12" i="26"/>
  <c r="O12" i="26"/>
  <c r="O11" i="26"/>
  <c r="O10" i="26"/>
  <c r="O9" i="26"/>
  <c r="O8" i="26"/>
  <c r="AB7" i="26"/>
  <c r="AI5" i="26"/>
  <c r="C90" i="26" l="1"/>
  <c r="E90" i="26"/>
  <c r="G90" i="26"/>
  <c r="H90" i="26"/>
  <c r="I90" i="26"/>
  <c r="K90" i="26"/>
  <c r="K100" i="26" s="1"/>
  <c r="N90" i="26"/>
  <c r="M90" i="26"/>
  <c r="D92" i="26"/>
  <c r="E92" i="26"/>
  <c r="J92" i="26"/>
  <c r="K82" i="26"/>
  <c r="M82" i="26"/>
  <c r="F53" i="26"/>
  <c r="M54" i="26"/>
  <c r="J55" i="26"/>
  <c r="L57" i="26"/>
  <c r="G58" i="26"/>
  <c r="C59" i="26"/>
  <c r="I63" i="26"/>
  <c r="L65" i="26"/>
  <c r="G66" i="26"/>
  <c r="C67" i="26"/>
  <c r="G53" i="26"/>
  <c r="C54" i="26"/>
  <c r="N54" i="26"/>
  <c r="K55" i="26"/>
  <c r="C57" i="26"/>
  <c r="M57" i="26"/>
  <c r="H58" i="26"/>
  <c r="E59" i="26"/>
  <c r="E60" i="26"/>
  <c r="M62" i="26"/>
  <c r="J63" i="26"/>
  <c r="C65" i="26"/>
  <c r="M65" i="26"/>
  <c r="H66" i="26"/>
  <c r="E67" i="26"/>
  <c r="H59" i="26"/>
  <c r="H67" i="26"/>
  <c r="L53" i="26"/>
  <c r="C55" i="26"/>
  <c r="E56" i="26"/>
  <c r="M58" i="26"/>
  <c r="I59" i="26"/>
  <c r="M66" i="26"/>
  <c r="I67" i="26"/>
  <c r="C53" i="26"/>
  <c r="M53" i="26"/>
  <c r="H54" i="26"/>
  <c r="E55" i="26"/>
  <c r="E83" i="26" s="1"/>
  <c r="G57" i="26"/>
  <c r="C58" i="26"/>
  <c r="N58" i="26"/>
  <c r="L61" i="26"/>
  <c r="G62" i="26"/>
  <c r="C63" i="26"/>
  <c r="G65" i="26"/>
  <c r="C66" i="26"/>
  <c r="N66" i="26"/>
  <c r="K85" i="26"/>
  <c r="K83" i="26"/>
  <c r="N91" i="26"/>
  <c r="F91" i="26"/>
  <c r="L91" i="26"/>
  <c r="D91" i="26"/>
  <c r="E91" i="26"/>
  <c r="K91" i="26"/>
  <c r="J91" i="26"/>
  <c r="I91" i="26"/>
  <c r="G91" i="26"/>
  <c r="C91" i="26"/>
  <c r="H91" i="26"/>
  <c r="B100" i="26"/>
  <c r="B102" i="26" s="1"/>
  <c r="AG13" i="26" s="1"/>
  <c r="N79" i="26"/>
  <c r="F79" i="26"/>
  <c r="L79" i="26"/>
  <c r="D79" i="26"/>
  <c r="E79" i="26"/>
  <c r="K79" i="26"/>
  <c r="J79" i="26"/>
  <c r="I79" i="26"/>
  <c r="G79" i="26"/>
  <c r="C79" i="26"/>
  <c r="H79" i="26"/>
  <c r="B83" i="26"/>
  <c r="B85" i="26" s="1"/>
  <c r="M79" i="26"/>
  <c r="H56" i="26"/>
  <c r="N56" i="26"/>
  <c r="F56" i="26"/>
  <c r="H64" i="26"/>
  <c r="N64" i="26"/>
  <c r="F64" i="26"/>
  <c r="L64" i="26"/>
  <c r="H72" i="26"/>
  <c r="N72" i="26"/>
  <c r="F72" i="26"/>
  <c r="L72" i="26"/>
  <c r="N99" i="26"/>
  <c r="F99" i="26"/>
  <c r="M99" i="26"/>
  <c r="E99" i="26"/>
  <c r="L99" i="26"/>
  <c r="D99" i="26"/>
  <c r="C56" i="26"/>
  <c r="M56" i="26"/>
  <c r="I60" i="26"/>
  <c r="C64" i="26"/>
  <c r="I68" i="26"/>
  <c r="C72" i="26"/>
  <c r="I76" i="26"/>
  <c r="H80" i="26"/>
  <c r="N80" i="26"/>
  <c r="F80" i="26"/>
  <c r="L80" i="26"/>
  <c r="H92" i="26"/>
  <c r="N92" i="26"/>
  <c r="F92" i="26"/>
  <c r="C99" i="26"/>
  <c r="D56" i="26"/>
  <c r="N59" i="26"/>
  <c r="F59" i="26"/>
  <c r="L59" i="26"/>
  <c r="D59" i="26"/>
  <c r="M59" i="26"/>
  <c r="D64" i="26"/>
  <c r="N67" i="26"/>
  <c r="F67" i="26"/>
  <c r="L67" i="26"/>
  <c r="D67" i="26"/>
  <c r="M67" i="26"/>
  <c r="D72" i="26"/>
  <c r="N75" i="26"/>
  <c r="F75" i="26"/>
  <c r="L75" i="26"/>
  <c r="D75" i="26"/>
  <c r="M75" i="26"/>
  <c r="C80" i="26"/>
  <c r="M80" i="26"/>
  <c r="C92" i="26"/>
  <c r="M92" i="26"/>
  <c r="M102" i="26" s="1"/>
  <c r="G99" i="26"/>
  <c r="G56" i="26"/>
  <c r="H60" i="26"/>
  <c r="N60" i="26"/>
  <c r="F60" i="26"/>
  <c r="L60" i="26"/>
  <c r="G64" i="26"/>
  <c r="H68" i="26"/>
  <c r="N68" i="26"/>
  <c r="F68" i="26"/>
  <c r="L68" i="26"/>
  <c r="G72" i="26"/>
  <c r="H76" i="26"/>
  <c r="N76" i="26"/>
  <c r="F76" i="26"/>
  <c r="L76" i="26"/>
  <c r="N95" i="26"/>
  <c r="F95" i="26"/>
  <c r="L95" i="26"/>
  <c r="D95" i="26"/>
  <c r="M95" i="26"/>
  <c r="I99" i="26"/>
  <c r="I56" i="26"/>
  <c r="I85" i="26" s="1"/>
  <c r="C60" i="26"/>
  <c r="M60" i="26"/>
  <c r="I64" i="26"/>
  <c r="C68" i="26"/>
  <c r="M68" i="26"/>
  <c r="I72" i="26"/>
  <c r="C76" i="26"/>
  <c r="M76" i="26"/>
  <c r="G80" i="26"/>
  <c r="G92" i="26"/>
  <c r="C95" i="26"/>
  <c r="J99" i="26"/>
  <c r="N55" i="26"/>
  <c r="N85" i="26" s="1"/>
  <c r="F55" i="26"/>
  <c r="L55" i="26"/>
  <c r="D55" i="26"/>
  <c r="M55" i="26"/>
  <c r="J56" i="26"/>
  <c r="D60" i="26"/>
  <c r="N63" i="26"/>
  <c r="F63" i="26"/>
  <c r="L63" i="26"/>
  <c r="D63" i="26"/>
  <c r="M63" i="26"/>
  <c r="J64" i="26"/>
  <c r="D68" i="26"/>
  <c r="N71" i="26"/>
  <c r="F71" i="26"/>
  <c r="L71" i="26"/>
  <c r="D71" i="26"/>
  <c r="M71" i="26"/>
  <c r="J72" i="26"/>
  <c r="D76" i="26"/>
  <c r="I80" i="26"/>
  <c r="I92" i="26"/>
  <c r="E95" i="26"/>
  <c r="H96" i="26"/>
  <c r="G96" i="26"/>
  <c r="N96" i="26"/>
  <c r="F96" i="26"/>
  <c r="M96" i="26"/>
  <c r="K99" i="26"/>
  <c r="M64" i="26"/>
  <c r="M72" i="26"/>
  <c r="L92" i="26"/>
  <c r="L102" i="26" s="1"/>
  <c r="L103" i="26" s="1"/>
  <c r="I95" i="26"/>
  <c r="H53" i="26"/>
  <c r="J54" i="26"/>
  <c r="H57" i="26"/>
  <c r="J58" i="26"/>
  <c r="H61" i="26"/>
  <c r="J62" i="26"/>
  <c r="H65" i="26"/>
  <c r="J66" i="26"/>
  <c r="H69" i="26"/>
  <c r="J70" i="26"/>
  <c r="H73" i="26"/>
  <c r="J74" i="26"/>
  <c r="J78" i="26"/>
  <c r="J82" i="26"/>
  <c r="J90" i="26"/>
  <c r="J94" i="26"/>
  <c r="J98" i="26"/>
  <c r="D54" i="26"/>
  <c r="D58" i="26"/>
  <c r="D62" i="26"/>
  <c r="D66" i="26"/>
  <c r="D70" i="26"/>
  <c r="D74" i="26"/>
  <c r="D78" i="26"/>
  <c r="D82" i="26"/>
  <c r="D90" i="26"/>
  <c r="D94" i="26"/>
  <c r="D98" i="26"/>
  <c r="E100" i="26" l="1"/>
  <c r="K102" i="26"/>
  <c r="K103" i="26" s="1"/>
  <c r="L100" i="26"/>
  <c r="C100" i="26"/>
  <c r="C102" i="26" s="1"/>
  <c r="C103" i="26" s="1"/>
  <c r="M103" i="26"/>
  <c r="I86" i="26"/>
  <c r="M85" i="26"/>
  <c r="M86" i="26" s="1"/>
  <c r="D85" i="26"/>
  <c r="D86" i="26" s="1"/>
  <c r="J85" i="26"/>
  <c r="J86" i="26" s="1"/>
  <c r="L85" i="26"/>
  <c r="L86" i="26" s="1"/>
  <c r="K86" i="26"/>
  <c r="F83" i="26"/>
  <c r="E85" i="26"/>
  <c r="E86" i="26" s="1"/>
  <c r="N86" i="26"/>
  <c r="C83" i="26"/>
  <c r="C85" i="26" s="1"/>
  <c r="C86" i="26" s="1"/>
  <c r="G83" i="26"/>
  <c r="G102" i="26"/>
  <c r="G103" i="26" s="1"/>
  <c r="N100" i="26"/>
  <c r="N102" i="26"/>
  <c r="N103" i="26" s="1"/>
  <c r="M100" i="26"/>
  <c r="I102" i="26"/>
  <c r="I103" i="26" s="1"/>
  <c r="D102" i="26"/>
  <c r="D103" i="26" s="1"/>
  <c r="D100" i="26"/>
  <c r="I100" i="26"/>
  <c r="M83" i="26"/>
  <c r="I83" i="26"/>
  <c r="AG17" i="26"/>
  <c r="AG27" i="26"/>
  <c r="AG29" i="26"/>
  <c r="J113" i="26" s="1"/>
  <c r="AG24" i="26"/>
  <c r="AG16" i="26"/>
  <c r="AG26" i="26"/>
  <c r="AG28" i="26"/>
  <c r="AG20" i="26"/>
  <c r="AS20" i="26" s="1"/>
  <c r="I113" i="26"/>
  <c r="AG15" i="26"/>
  <c r="AG25" i="26"/>
  <c r="AG21" i="26"/>
  <c r="AS21" i="26" s="1"/>
  <c r="AU21" i="26" s="1"/>
  <c r="H85" i="26"/>
  <c r="H86" i="26" s="1"/>
  <c r="H83" i="26"/>
  <c r="H102" i="26"/>
  <c r="H103" i="26" s="1"/>
  <c r="H100" i="26"/>
  <c r="L83" i="26"/>
  <c r="E102" i="26"/>
  <c r="E103" i="26" s="1"/>
  <c r="N83" i="26"/>
  <c r="J102" i="26"/>
  <c r="J103" i="26" s="1"/>
  <c r="J100" i="26"/>
  <c r="D83" i="26"/>
  <c r="F85" i="26"/>
  <c r="F86" i="26" s="1"/>
  <c r="J83" i="26"/>
  <c r="G85" i="26"/>
  <c r="G86" i="26" s="1"/>
  <c r="G100" i="26"/>
  <c r="B86" i="26" l="1"/>
  <c r="F87" i="26" s="1"/>
  <c r="D113" i="26"/>
  <c r="AS15" i="26"/>
  <c r="AU15" i="26" s="1"/>
  <c r="E113" i="26"/>
  <c r="AS16" i="26"/>
  <c r="AU16" i="26" s="1"/>
  <c r="AS22" i="26"/>
  <c r="G113" i="26"/>
  <c r="H113" i="26"/>
  <c r="AS17" i="26"/>
  <c r="AU17" i="26" s="1"/>
  <c r="B87" i="26" l="1"/>
  <c r="F90" i="26"/>
  <c r="F102" i="26" l="1"/>
  <c r="F103" i="26" s="1"/>
  <c r="F100" i="26"/>
  <c r="B103" i="26" l="1"/>
  <c r="F104" i="26" s="1"/>
  <c r="B104" i="26" l="1"/>
  <c r="C108" i="26"/>
  <c r="AE14" i="26" s="1"/>
  <c r="F106" i="26"/>
  <c r="AE18" i="26" s="1"/>
  <c r="AE19" i="26"/>
  <c r="AG19" i="26" s="1"/>
  <c r="AG18" i="26" l="1"/>
  <c r="AS19" i="26"/>
  <c r="AG14" i="26"/>
  <c r="F113" i="26" l="1"/>
  <c r="AS18" i="26"/>
  <c r="AU18" i="26" s="1"/>
  <c r="AS14" i="26"/>
  <c r="AU14" i="26" s="1"/>
  <c r="C113" i="26"/>
  <c r="AB7" i="21" l="1"/>
  <c r="AA14" i="21"/>
  <c r="L99" i="21" l="1"/>
  <c r="K99" i="21"/>
  <c r="J99" i="21"/>
  <c r="I99" i="21"/>
  <c r="H99" i="21"/>
  <c r="G99" i="21"/>
  <c r="F99" i="21"/>
  <c r="E99" i="21"/>
  <c r="D99" i="21"/>
  <c r="C99" i="21"/>
  <c r="L98" i="21"/>
  <c r="K98" i="21"/>
  <c r="J98" i="21"/>
  <c r="I98" i="21"/>
  <c r="H98" i="21"/>
  <c r="G98" i="21"/>
  <c r="F98" i="21"/>
  <c r="E98" i="21"/>
  <c r="D98" i="21"/>
  <c r="C98" i="21"/>
  <c r="L97" i="21"/>
  <c r="K97" i="21"/>
  <c r="J97" i="21"/>
  <c r="I97" i="21"/>
  <c r="H97" i="21"/>
  <c r="G97" i="21"/>
  <c r="F97" i="21"/>
  <c r="E97" i="21"/>
  <c r="D97" i="21"/>
  <c r="C97" i="21"/>
  <c r="L96" i="21"/>
  <c r="K96" i="21"/>
  <c r="J96" i="21"/>
  <c r="I96" i="21"/>
  <c r="H96" i="21"/>
  <c r="G96" i="21"/>
  <c r="F96" i="21"/>
  <c r="E96" i="21"/>
  <c r="D96" i="21"/>
  <c r="C96" i="21"/>
  <c r="L95" i="21"/>
  <c r="K95" i="21"/>
  <c r="J95" i="21"/>
  <c r="I95" i="21"/>
  <c r="H95" i="21"/>
  <c r="G95" i="21"/>
  <c r="F95" i="21"/>
  <c r="E95" i="21"/>
  <c r="D95" i="21"/>
  <c r="C95" i="21"/>
  <c r="L94" i="21"/>
  <c r="K94" i="21"/>
  <c r="J94" i="21"/>
  <c r="I94" i="21"/>
  <c r="H94" i="21"/>
  <c r="G94" i="21"/>
  <c r="F94" i="21"/>
  <c r="E94" i="21"/>
  <c r="D94" i="21"/>
  <c r="C94" i="21"/>
  <c r="L93" i="21"/>
  <c r="K93" i="21"/>
  <c r="J93" i="21"/>
  <c r="I93" i="21"/>
  <c r="H93" i="21"/>
  <c r="G93" i="21"/>
  <c r="F93" i="21"/>
  <c r="E93" i="21"/>
  <c r="D93" i="21"/>
  <c r="C93" i="21"/>
  <c r="L92" i="21"/>
  <c r="K92" i="21"/>
  <c r="J92" i="21"/>
  <c r="I92" i="21"/>
  <c r="H92" i="21"/>
  <c r="G92" i="21"/>
  <c r="F92" i="21"/>
  <c r="E92" i="21"/>
  <c r="D92" i="21"/>
  <c r="C92" i="21"/>
  <c r="L91" i="21"/>
  <c r="K91" i="21"/>
  <c r="J91" i="21"/>
  <c r="I91" i="21"/>
  <c r="H91" i="21"/>
  <c r="G91" i="21"/>
  <c r="F91" i="21"/>
  <c r="E91" i="21"/>
  <c r="D91" i="21"/>
  <c r="C91" i="21"/>
  <c r="B90" i="21"/>
  <c r="L90" i="21" s="1"/>
  <c r="B83" i="21"/>
  <c r="B85" i="21" s="1"/>
  <c r="L82" i="21"/>
  <c r="K82" i="21"/>
  <c r="J82" i="21"/>
  <c r="I82" i="21"/>
  <c r="H82" i="21"/>
  <c r="G82" i="21"/>
  <c r="F82" i="21"/>
  <c r="E82" i="21"/>
  <c r="D82" i="21"/>
  <c r="C82" i="21"/>
  <c r="L81" i="21"/>
  <c r="K81" i="21"/>
  <c r="J81" i="21"/>
  <c r="I81" i="21"/>
  <c r="H81" i="21"/>
  <c r="G81" i="21"/>
  <c r="F81" i="21"/>
  <c r="E81" i="21"/>
  <c r="D81" i="21"/>
  <c r="C81" i="21"/>
  <c r="L80" i="21"/>
  <c r="K80" i="21"/>
  <c r="J80" i="21"/>
  <c r="I80" i="21"/>
  <c r="H80" i="21"/>
  <c r="G80" i="21"/>
  <c r="F80" i="21"/>
  <c r="E80" i="21"/>
  <c r="D80" i="21"/>
  <c r="C80" i="21"/>
  <c r="L79" i="21"/>
  <c r="K79" i="21"/>
  <c r="J79" i="21"/>
  <c r="I79" i="21"/>
  <c r="H79" i="21"/>
  <c r="G79" i="21"/>
  <c r="F79" i="21"/>
  <c r="E79" i="21"/>
  <c r="D79" i="21"/>
  <c r="C79" i="21"/>
  <c r="L78" i="21"/>
  <c r="K78" i="21"/>
  <c r="J78" i="21"/>
  <c r="I78" i="21"/>
  <c r="H78" i="21"/>
  <c r="G78" i="21"/>
  <c r="F78" i="21"/>
  <c r="E78" i="21"/>
  <c r="D78" i="21"/>
  <c r="C78" i="21"/>
  <c r="L77" i="21"/>
  <c r="K77" i="21"/>
  <c r="J77" i="21"/>
  <c r="I77" i="21"/>
  <c r="H77" i="21"/>
  <c r="G77" i="21"/>
  <c r="F77" i="21"/>
  <c r="E77" i="21"/>
  <c r="D77" i="21"/>
  <c r="C77" i="21"/>
  <c r="L76" i="21"/>
  <c r="K76" i="21"/>
  <c r="J76" i="21"/>
  <c r="I76" i="21"/>
  <c r="H76" i="21"/>
  <c r="G76" i="21"/>
  <c r="F76" i="21"/>
  <c r="E76" i="21"/>
  <c r="D76" i="21"/>
  <c r="C76" i="21"/>
  <c r="L75" i="21"/>
  <c r="K75" i="21"/>
  <c r="J75" i="21"/>
  <c r="I75" i="21"/>
  <c r="H75" i="21"/>
  <c r="G75" i="21"/>
  <c r="F75" i="21"/>
  <c r="E75" i="21"/>
  <c r="D75" i="21"/>
  <c r="C75" i="21"/>
  <c r="L74" i="21"/>
  <c r="K74" i="21"/>
  <c r="J74" i="21"/>
  <c r="I74" i="21"/>
  <c r="H74" i="21"/>
  <c r="G74" i="21"/>
  <c r="F74" i="21"/>
  <c r="E74" i="21"/>
  <c r="D74" i="21"/>
  <c r="C74" i="21"/>
  <c r="L73" i="21"/>
  <c r="K73" i="21"/>
  <c r="J73" i="21"/>
  <c r="I73" i="21"/>
  <c r="H73" i="21"/>
  <c r="G73" i="21"/>
  <c r="F73" i="21"/>
  <c r="E73" i="21"/>
  <c r="D73" i="21"/>
  <c r="C73" i="21"/>
  <c r="L72" i="21"/>
  <c r="K72" i="21"/>
  <c r="J72" i="21"/>
  <c r="I72" i="21"/>
  <c r="H72" i="21"/>
  <c r="G72" i="21"/>
  <c r="F72" i="21"/>
  <c r="E72" i="21"/>
  <c r="D72" i="21"/>
  <c r="C72" i="21"/>
  <c r="L71" i="21"/>
  <c r="K71" i="21"/>
  <c r="J71" i="21"/>
  <c r="I71" i="21"/>
  <c r="H71" i="21"/>
  <c r="G71" i="21"/>
  <c r="F71" i="21"/>
  <c r="E71" i="21"/>
  <c r="D71" i="21"/>
  <c r="C71" i="21"/>
  <c r="L70" i="21"/>
  <c r="K70" i="21"/>
  <c r="J70" i="21"/>
  <c r="I70" i="21"/>
  <c r="H70" i="21"/>
  <c r="G70" i="21"/>
  <c r="F70" i="21"/>
  <c r="E70" i="21"/>
  <c r="D70" i="21"/>
  <c r="C70" i="21"/>
  <c r="L69" i="21"/>
  <c r="K69" i="21"/>
  <c r="J69" i="21"/>
  <c r="I69" i="21"/>
  <c r="H69" i="21"/>
  <c r="G69" i="21"/>
  <c r="F69" i="21"/>
  <c r="E69" i="21"/>
  <c r="D69" i="21"/>
  <c r="C69" i="21"/>
  <c r="L68" i="21"/>
  <c r="K68" i="21"/>
  <c r="J68" i="21"/>
  <c r="I68" i="21"/>
  <c r="H68" i="21"/>
  <c r="G68" i="21"/>
  <c r="F68" i="21"/>
  <c r="E68" i="21"/>
  <c r="D68" i="21"/>
  <c r="C68" i="21"/>
  <c r="L67" i="21"/>
  <c r="K67" i="21"/>
  <c r="J67" i="21"/>
  <c r="I67" i="21"/>
  <c r="H67" i="21"/>
  <c r="G67" i="21"/>
  <c r="F67" i="21"/>
  <c r="E67" i="21"/>
  <c r="D67" i="21"/>
  <c r="C67" i="21"/>
  <c r="L66" i="21"/>
  <c r="K66" i="21"/>
  <c r="J66" i="21"/>
  <c r="I66" i="21"/>
  <c r="H66" i="21"/>
  <c r="G66" i="21"/>
  <c r="F66" i="21"/>
  <c r="E66" i="21"/>
  <c r="D66" i="21"/>
  <c r="C66" i="21"/>
  <c r="L65" i="21"/>
  <c r="K65" i="21"/>
  <c r="J65" i="21"/>
  <c r="I65" i="21"/>
  <c r="H65" i="21"/>
  <c r="G65" i="21"/>
  <c r="F65" i="21"/>
  <c r="E65" i="21"/>
  <c r="D65" i="21"/>
  <c r="C65" i="21"/>
  <c r="L64" i="21"/>
  <c r="K64" i="21"/>
  <c r="J64" i="21"/>
  <c r="I64" i="21"/>
  <c r="H64" i="21"/>
  <c r="G64" i="21"/>
  <c r="F64" i="21"/>
  <c r="E64" i="21"/>
  <c r="D64" i="21"/>
  <c r="C64" i="21"/>
  <c r="L63" i="21"/>
  <c r="K63" i="21"/>
  <c r="J63" i="21"/>
  <c r="I63" i="21"/>
  <c r="H63" i="21"/>
  <c r="G63" i="21"/>
  <c r="F63" i="21"/>
  <c r="E63" i="21"/>
  <c r="D63" i="21"/>
  <c r="C63" i="21"/>
  <c r="L62" i="21"/>
  <c r="K62" i="21"/>
  <c r="J62" i="21"/>
  <c r="I62" i="21"/>
  <c r="H62" i="21"/>
  <c r="G62" i="21"/>
  <c r="F62" i="21"/>
  <c r="E62" i="21"/>
  <c r="D62" i="21"/>
  <c r="C62" i="21"/>
  <c r="L61" i="21"/>
  <c r="K61" i="21"/>
  <c r="J61" i="21"/>
  <c r="I61" i="21"/>
  <c r="H61" i="21"/>
  <c r="G61" i="21"/>
  <c r="F61" i="21"/>
  <c r="E61" i="21"/>
  <c r="D61" i="21"/>
  <c r="C61" i="21"/>
  <c r="L60" i="21"/>
  <c r="K60" i="21"/>
  <c r="J60" i="21"/>
  <c r="I60" i="21"/>
  <c r="H60" i="21"/>
  <c r="G60" i="21"/>
  <c r="F60" i="21"/>
  <c r="E60" i="21"/>
  <c r="D60" i="21"/>
  <c r="C60" i="21"/>
  <c r="L59" i="21"/>
  <c r="K59" i="21"/>
  <c r="J59" i="21"/>
  <c r="I59" i="21"/>
  <c r="H59" i="21"/>
  <c r="G59" i="21"/>
  <c r="F59" i="21"/>
  <c r="E59" i="21"/>
  <c r="D59" i="21"/>
  <c r="C59" i="21"/>
  <c r="L58" i="21"/>
  <c r="K58" i="21"/>
  <c r="J58" i="21"/>
  <c r="I58" i="21"/>
  <c r="H58" i="21"/>
  <c r="G58" i="21"/>
  <c r="F58" i="21"/>
  <c r="E58" i="21"/>
  <c r="D58" i="21"/>
  <c r="C58" i="21"/>
  <c r="L57" i="21"/>
  <c r="K57" i="21"/>
  <c r="J57" i="21"/>
  <c r="I57" i="21"/>
  <c r="H57" i="21"/>
  <c r="G57" i="21"/>
  <c r="F57" i="21"/>
  <c r="E57" i="21"/>
  <c r="D57" i="21"/>
  <c r="C57" i="21"/>
  <c r="L56" i="21"/>
  <c r="K56" i="21"/>
  <c r="J56" i="21"/>
  <c r="I56" i="21"/>
  <c r="H56" i="21"/>
  <c r="G56" i="21"/>
  <c r="F56" i="21"/>
  <c r="E56" i="21"/>
  <c r="D56" i="21"/>
  <c r="C56" i="21"/>
  <c r="L55" i="21"/>
  <c r="K55" i="21"/>
  <c r="J55" i="21"/>
  <c r="I55" i="21"/>
  <c r="H55" i="21"/>
  <c r="G55" i="21"/>
  <c r="F55" i="21"/>
  <c r="E55" i="21"/>
  <c r="D55" i="21"/>
  <c r="C55" i="21"/>
  <c r="L54" i="21"/>
  <c r="K54" i="21"/>
  <c r="J54" i="21"/>
  <c r="I54" i="21"/>
  <c r="H54" i="21"/>
  <c r="G54" i="21"/>
  <c r="F54" i="21"/>
  <c r="E54" i="21"/>
  <c r="D54" i="21"/>
  <c r="C54" i="21"/>
  <c r="L53" i="21"/>
  <c r="K53" i="21"/>
  <c r="J53" i="21"/>
  <c r="I53" i="21"/>
  <c r="H53" i="21"/>
  <c r="G53" i="21"/>
  <c r="F53" i="21"/>
  <c r="E53" i="21"/>
  <c r="D53" i="21"/>
  <c r="C53" i="21"/>
  <c r="M49" i="21"/>
  <c r="M48" i="21"/>
  <c r="M47" i="21"/>
  <c r="M46" i="21"/>
  <c r="M45" i="21"/>
  <c r="M44" i="21"/>
  <c r="M43" i="21"/>
  <c r="M42" i="21"/>
  <c r="M41" i="21"/>
  <c r="M40" i="21"/>
  <c r="M37" i="21"/>
  <c r="M36" i="21"/>
  <c r="AE35" i="21"/>
  <c r="M35" i="21"/>
  <c r="M34" i="21"/>
  <c r="M33" i="21"/>
  <c r="M32" i="21"/>
  <c r="M31" i="21"/>
  <c r="M30" i="21"/>
  <c r="M29" i="21"/>
  <c r="M28" i="21"/>
  <c r="AE27" i="21"/>
  <c r="M27" i="21"/>
  <c r="AE26" i="21"/>
  <c r="M26" i="21"/>
  <c r="AE25" i="21"/>
  <c r="M25" i="21"/>
  <c r="AE24" i="21"/>
  <c r="M24" i="21"/>
  <c r="AE23" i="21"/>
  <c r="M23" i="21"/>
  <c r="AE22" i="21"/>
  <c r="M22" i="21"/>
  <c r="M21" i="21"/>
  <c r="AE20" i="21"/>
  <c r="M20" i="21"/>
  <c r="AE19" i="21"/>
  <c r="M19" i="21"/>
  <c r="M18" i="21"/>
  <c r="M17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I5" i="21"/>
  <c r="C90" i="21" l="1"/>
  <c r="K90" i="21"/>
  <c r="K102" i="21" s="1"/>
  <c r="G90" i="21"/>
  <c r="G102" i="21" s="1"/>
  <c r="B100" i="21"/>
  <c r="B102" i="21" s="1"/>
  <c r="AG13" i="21" s="1"/>
  <c r="AG26" i="21" s="1"/>
  <c r="I113" i="21" s="1"/>
  <c r="C100" i="21"/>
  <c r="K100" i="21"/>
  <c r="G100" i="21"/>
  <c r="C83" i="21"/>
  <c r="C85" i="21" s="1"/>
  <c r="C86" i="21" s="1"/>
  <c r="G83" i="21"/>
  <c r="K83" i="21"/>
  <c r="F85" i="21"/>
  <c r="F86" i="21" s="1"/>
  <c r="J85" i="21"/>
  <c r="J86" i="21" s="1"/>
  <c r="E85" i="21"/>
  <c r="E86" i="21" s="1"/>
  <c r="I85" i="21"/>
  <c r="I86" i="21" s="1"/>
  <c r="J83" i="21"/>
  <c r="D85" i="21"/>
  <c r="D86" i="21" s="1"/>
  <c r="H85" i="21"/>
  <c r="H86" i="21" s="1"/>
  <c r="L85" i="21"/>
  <c r="L86" i="21" s="1"/>
  <c r="F83" i="21"/>
  <c r="AG24" i="21"/>
  <c r="AG25" i="21"/>
  <c r="H113" i="21" s="1"/>
  <c r="AG15" i="21"/>
  <c r="AG16" i="21"/>
  <c r="E113" i="21" s="1"/>
  <c r="AG19" i="21"/>
  <c r="L102" i="21"/>
  <c r="L100" i="21"/>
  <c r="K85" i="21"/>
  <c r="K86" i="21" s="1"/>
  <c r="E83" i="21"/>
  <c r="I83" i="21"/>
  <c r="J90" i="21"/>
  <c r="G85" i="21"/>
  <c r="G86" i="21" s="1"/>
  <c r="D83" i="21"/>
  <c r="H83" i="21"/>
  <c r="L83" i="21"/>
  <c r="E90" i="21"/>
  <c r="I90" i="21"/>
  <c r="D90" i="21"/>
  <c r="H90" i="21"/>
  <c r="G103" i="21" l="1"/>
  <c r="L103" i="21"/>
  <c r="AG27" i="21"/>
  <c r="J113" i="21" s="1"/>
  <c r="C102" i="21"/>
  <c r="C103" i="21" s="1"/>
  <c r="AG22" i="21"/>
  <c r="AG20" i="21" s="1"/>
  <c r="G113" i="21" s="1"/>
  <c r="AG23" i="21"/>
  <c r="K103" i="21"/>
  <c r="B86" i="21"/>
  <c r="F87" i="21" s="1"/>
  <c r="I102" i="21"/>
  <c r="I103" i="21" s="1"/>
  <c r="I100" i="21"/>
  <c r="D113" i="21"/>
  <c r="D102" i="21"/>
  <c r="D103" i="21" s="1"/>
  <c r="D100" i="21"/>
  <c r="J100" i="21"/>
  <c r="J102" i="21"/>
  <c r="J103" i="21" s="1"/>
  <c r="E102" i="21"/>
  <c r="E103" i="21" s="1"/>
  <c r="E100" i="21"/>
  <c r="H102" i="21"/>
  <c r="H103" i="21" s="1"/>
  <c r="H100" i="21"/>
  <c r="F90" i="21" l="1"/>
  <c r="F100" i="21" s="1"/>
  <c r="B87" i="21"/>
  <c r="F102" i="21" l="1"/>
  <c r="F103" i="21" s="1"/>
  <c r="B103" i="21" s="1"/>
  <c r="F106" i="21" l="1"/>
  <c r="AE17" i="21" s="1"/>
  <c r="C108" i="21" l="1"/>
  <c r="AE14" i="21" s="1"/>
  <c r="B104" i="21"/>
  <c r="AE18" i="21"/>
  <c r="AG18" i="21" s="1"/>
  <c r="AG14" i="21" s="1"/>
  <c r="C113" i="21" s="1"/>
  <c r="AG17" i="21" l="1"/>
  <c r="F113" i="21" s="1"/>
</calcChain>
</file>

<file path=xl/sharedStrings.xml><?xml version="1.0" encoding="utf-8"?>
<sst xmlns="http://schemas.openxmlformats.org/spreadsheetml/2006/main" count="385" uniqueCount="167">
  <si>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</si>
  <si>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</si>
  <si>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</si>
  <si>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</si>
  <si>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</si>
  <si>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</si>
  <si>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</si>
  <si>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</si>
  <si>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</si>
  <si>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</si>
  <si>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</si>
  <si>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</si>
  <si>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</si>
  <si>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</si>
  <si>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</si>
  <si>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</si>
  <si>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</si>
  <si>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</si>
  <si>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</si>
  <si>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</si>
  <si>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</si>
  <si>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</si>
  <si>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</si>
  <si>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</si>
  <si>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</si>
  <si>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</si>
  <si>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</si>
  <si>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</si>
  <si>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</si>
  <si>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</si>
  <si>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</si>
  <si>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</si>
  <si>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</si>
  <si>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</si>
  <si>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</si>
  <si>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</si>
  <si>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</si>
  <si>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</si>
  <si>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</si>
  <si>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</si>
  <si>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</si>
  <si>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</si>
  <si>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</si>
  <si>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</si>
  <si>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</si>
  <si>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</si>
  <si>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</si>
  <si>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</si>
  <si>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</si>
  <si>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</si>
  <si>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</si>
  <si>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</si>
  <si>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</si>
  <si>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</si>
  <si>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</si>
  <si>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</si>
  <si>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t>吸い上げﾌﾟﾙﾀﾞｳﾝﾘｽﾄ</t>
    <rPh sb="0" eb="1">
      <t>ス</t>
    </rPh>
    <rPh sb="2" eb="3">
      <t>ア</t>
    </rPh>
    <phoneticPr fontId="3"/>
  </si>
  <si>
    <t>出力用</t>
    <rPh sb="0" eb="2">
      <t>シュツリョク</t>
    </rPh>
    <rPh sb="2" eb="3">
      <t>ヨウ</t>
    </rPh>
    <phoneticPr fontId="3"/>
  </si>
  <si>
    <t>出力なし</t>
    <rPh sb="0" eb="2">
      <t>シュツリョク</t>
    </rPh>
    <phoneticPr fontId="3"/>
  </si>
  <si>
    <t>閲覧用</t>
    <rPh sb="0" eb="3">
      <t>エツランヨウ</t>
    </rPh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</si>
  <si>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</si>
  <si>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</si>
  <si>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</si>
  <si>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</si>
  <si>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</si>
  <si>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・製品100ｇ当たり、トランス脂肪酸0.3ｇ未満の場合はHPの値は0ｇと表示しております。</t>
    <rPh sb="31" eb="32">
      <t>アタイ</t>
    </rPh>
    <phoneticPr fontId="3"/>
  </si>
  <si>
    <t>・製品100ｇ当たり、コレステロール5ｍｇ未満の場合はHPの値は0mｇと表示しております。</t>
    <rPh sb="30" eb="31">
      <t>アタイ</t>
    </rPh>
    <phoneticPr fontId="3"/>
  </si>
  <si>
    <r>
      <t xml:space="preserve"> (ただし、</t>
    </r>
    <r>
      <rPr>
        <sz val="12.5"/>
        <color indexed="10"/>
        <rFont val="ＭＳ Ｐゴシック"/>
        <family val="3"/>
        <charset val="128"/>
      </rPr>
      <t>製品重量が1個当たり100g以上</t>
    </r>
    <r>
      <rPr>
        <sz val="12.5"/>
        <rFont val="ＭＳ Ｐゴシック"/>
        <family val="3"/>
        <charset val="128"/>
      </rPr>
      <t>の場合は0.3g/100g未満でも0gではなく、1個当たりの数値を表示。)</t>
    </r>
    <rPh sb="6" eb="8">
      <t>セイヒン</t>
    </rPh>
    <rPh sb="8" eb="10">
      <t>ジュウリョウ</t>
    </rPh>
    <rPh sb="12" eb="13">
      <t>コ</t>
    </rPh>
    <rPh sb="13" eb="14">
      <t>アタ</t>
    </rPh>
    <rPh sb="20" eb="22">
      <t>イジョウ</t>
    </rPh>
    <rPh sb="23" eb="25">
      <t>バアイ</t>
    </rPh>
    <rPh sb="35" eb="37">
      <t>ミマン</t>
    </rPh>
    <rPh sb="47" eb="48">
      <t>コ</t>
    </rPh>
    <rPh sb="48" eb="49">
      <t>アタ</t>
    </rPh>
    <rPh sb="52" eb="54">
      <t>スウチ</t>
    </rPh>
    <rPh sb="55" eb="57">
      <t>ヒョウジ</t>
    </rPh>
    <phoneticPr fontId="3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</si>
  <si>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</si>
  <si>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</si>
  <si>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</si>
  <si>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</si>
  <si>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蒸し物ﾗｲﾝ選択</t>
  </si>
  <si>
    <t>その他</t>
    <rPh sb="2" eb="3">
      <t>タ</t>
    </rPh>
    <phoneticPr fontId="3"/>
  </si>
  <si>
    <t>蒸し物</t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</si>
  <si>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</si>
  <si>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</si>
  <si>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</si>
  <si>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　　(単位も注意してください)</t>
    <rPh sb="3" eb="5">
      <t>タンイ</t>
    </rPh>
    <rPh sb="6" eb="8">
      <t>チュウイ</t>
    </rPh>
    <phoneticPr fontId="3"/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</si>
  <si>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</si>
  <si>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</si>
  <si>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</si>
  <si>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</si>
  <si>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</si>
  <si>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</si>
  <si>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赤ﾀﾞｲﾔ</t>
  </si>
  <si>
    <t>上白糖</t>
  </si>
  <si>
    <t>全卵</t>
  </si>
  <si>
    <t>日清ｻﾗﾀﾞ油SP 16.5kg缶</t>
  </si>
  <si>
    <t>ﾄｯﾌﾟﾌﾟﾛﾄﾝﾌﾞﾚｯﾄﾞ</t>
  </si>
  <si>
    <t>ﾍﾞｰｷﾝｸﾞﾊﾟｳﾀﾞｰM#1</t>
  </si>
  <si>
    <t>ﾊﾟﾃｨｸﾞﾗｰｽ-300</t>
  </si>
  <si>
    <t>ﾌﾚﾝｼﾞｰL</t>
  </si>
  <si>
    <t>ﾈﾌﾟﾁｭｰﾝ ﾆｭｰﾗｲﾄﾗﾑ</t>
  </si>
  <si>
    <t>特級塩A25kg</t>
  </si>
  <si>
    <t>ｲﾇﾘｱCLR</t>
  </si>
  <si>
    <t>ﾐﾙｯｸ700C</t>
  </si>
  <si>
    <t>ﾌﾛﾗﾝﾁｰﾇ ｽﾄﾛﾍﾞﾘｰ 強化果汁 SX</t>
  </si>
  <si>
    <t>ﾌﾚﾄﾜ</t>
  </si>
  <si>
    <t>水</t>
    <rPh sb="0" eb="1">
      <t>ミズ</t>
    </rPh>
    <phoneticPr fontId="3"/>
  </si>
  <si>
    <t>2012ふわりｼﾌｫﾝいちご</t>
    <phoneticPr fontId="3"/>
  </si>
  <si>
    <t>1</t>
    <phoneticPr fontId="3"/>
  </si>
  <si>
    <t>個</t>
    <rPh sb="0" eb="1">
      <t>コ</t>
    </rPh>
    <phoneticPr fontId="3"/>
  </si>
  <si>
    <t>熊本</t>
    <rPh sb="0" eb="2">
      <t>クマモト</t>
    </rPh>
    <phoneticPr fontId="3"/>
  </si>
  <si>
    <t>灰分</t>
    <phoneticPr fontId="3"/>
  </si>
  <si>
    <t>2020年10月21日</t>
    <rPh sb="4" eb="5">
      <t>ネン</t>
    </rPh>
    <rPh sb="7" eb="8">
      <t>ガツ</t>
    </rPh>
    <rPh sb="10" eb="11">
      <t>ニチ</t>
    </rPh>
    <phoneticPr fontId="5"/>
  </si>
  <si>
    <t>ﾊﾟｳﾀﾞｰﾄｯﾋﾟﾝｸﾞﾎﾜｲﾄH</t>
  </si>
  <si>
    <t>※分析値</t>
    <rPh sb="1" eb="3">
      <t>ブンセキ</t>
    </rPh>
    <rPh sb="3" eb="4">
      <t>チ</t>
    </rPh>
    <phoneticPr fontId="3"/>
  </si>
  <si>
    <t>※計算値</t>
    <rPh sb="1" eb="4">
      <t>ケイサンチ</t>
    </rPh>
    <phoneticPr fontId="3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</si>
  <si>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</si>
  <si>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</si>
  <si>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</si>
  <si>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</si>
  <si>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出力用</t>
  </si>
  <si>
    <t>その他</t>
  </si>
  <si>
    <t>食塩相当量</t>
  </si>
  <si>
    <t>炭水化物</t>
  </si>
  <si>
    <t>糖類</t>
    <rPh sb="0" eb="2">
      <t>トウルイ</t>
    </rPh>
    <phoneticPr fontId="3"/>
  </si>
  <si>
    <t>　　　糖類</t>
    <rPh sb="3" eb="5">
      <t>トウルイ</t>
    </rPh>
    <phoneticPr fontId="3"/>
  </si>
  <si>
    <t>食物繊維</t>
    <rPh sb="0" eb="2">
      <t>ショクモツ</t>
    </rPh>
    <rPh sb="2" eb="4">
      <t>センイ</t>
    </rPh>
    <phoneticPr fontId="3"/>
  </si>
  <si>
    <t>　　　飽和脂肪酸</t>
    <rPh sb="3" eb="5">
      <t>ホウワ</t>
    </rPh>
    <rPh sb="5" eb="8">
      <t>シボウサン</t>
    </rPh>
    <phoneticPr fontId="1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</si>
  <si>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</si>
  <si>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トランス脂肪酸</t>
  </si>
  <si>
    <t>コレステロール</t>
  </si>
  <si>
    <t>たんぱく質</t>
  </si>
  <si>
    <t>-飽和脂肪酸</t>
  </si>
  <si>
    <t>-糖質</t>
  </si>
  <si>
    <t>　-糖類</t>
  </si>
  <si>
    <t>-食物繊維</t>
  </si>
  <si>
    <t>栄養成分表示　　　　　　　　1個当たり</t>
    <rPh sb="0" eb="2">
      <t>エイヨウ</t>
    </rPh>
    <rPh sb="2" eb="4">
      <t>セイブン</t>
    </rPh>
    <rPh sb="4" eb="6">
      <t>ヒョウジ</t>
    </rPh>
    <rPh sb="15" eb="16">
      <t>コ</t>
    </rPh>
    <rPh sb="16" eb="17">
      <t>ア</t>
    </rPh>
    <phoneticPr fontId="3"/>
  </si>
  <si>
    <r>
      <t>栄養素等表示基準値に対して</t>
    </r>
    <r>
      <rPr>
        <vertAlign val="superscript"/>
        <sz val="14"/>
        <rFont val="ＭＳ 明朝"/>
        <family val="1"/>
        <charset val="128"/>
      </rPr>
      <t>*</t>
    </r>
    <rPh sb="0" eb="3">
      <t>エイヨウソ</t>
    </rPh>
    <rPh sb="3" eb="4">
      <t>トウ</t>
    </rPh>
    <rPh sb="4" eb="6">
      <t>ヒョウジ</t>
    </rPh>
    <rPh sb="6" eb="8">
      <t>キジュン</t>
    </rPh>
    <rPh sb="8" eb="9">
      <t>チ</t>
    </rPh>
    <rPh sb="10" eb="11">
      <t>タイ</t>
    </rPh>
    <phoneticPr fontId="3"/>
  </si>
  <si>
    <t>栄養素等表示基準値　　　　　　　　　　(2022年7月現在）</t>
    <rPh sb="0" eb="4">
      <t>エイヨウソトウ</t>
    </rPh>
    <rPh sb="4" eb="6">
      <t>ヒョウジ</t>
    </rPh>
    <rPh sb="6" eb="8">
      <t>キジュン</t>
    </rPh>
    <rPh sb="8" eb="9">
      <t>チ</t>
    </rPh>
    <rPh sb="24" eb="25">
      <t>ネン</t>
    </rPh>
    <rPh sb="26" eb="27">
      <t>ガツ</t>
    </rPh>
    <rPh sb="27" eb="29">
      <t>ゲンザイ</t>
    </rPh>
    <phoneticPr fontId="3"/>
  </si>
  <si>
    <t>*栄養素等表示基準値</t>
    <rPh sb="1" eb="5">
      <t>エイヨウソトウ</t>
    </rPh>
    <rPh sb="5" eb="7">
      <t>ヒョウジ</t>
    </rPh>
    <rPh sb="7" eb="9">
      <t>キジュン</t>
    </rPh>
    <rPh sb="9" eb="10">
      <t>チ</t>
    </rPh>
    <phoneticPr fontId="3"/>
  </si>
  <si>
    <t>(18歳以上、基準熱量2,200kcal）</t>
    <rPh sb="3" eb="4">
      <t>サイ</t>
    </rPh>
    <rPh sb="4" eb="6">
      <t>イジョウ</t>
    </rPh>
    <rPh sb="7" eb="9">
      <t>キジュン</t>
    </rPh>
    <rPh sb="9" eb="11">
      <t>ネツリョウ</t>
    </rPh>
    <phoneticPr fontId="3"/>
  </si>
  <si>
    <t>に占める割合</t>
    <rPh sb="1" eb="2">
      <t>シ</t>
    </rPh>
    <rPh sb="4" eb="6">
      <t>ワリアイ</t>
    </rPh>
    <phoneticPr fontId="3"/>
  </si>
  <si>
    <t>この表示値は、目安です。</t>
    <rPh sb="2" eb="4">
      <t>ヒョウジ</t>
    </rPh>
    <rPh sb="4" eb="5">
      <t>チ</t>
    </rPh>
    <rPh sb="7" eb="9">
      <t>メヤス</t>
    </rPh>
    <phoneticPr fontId="3"/>
  </si>
  <si>
    <t>この表示値は、目安です。</t>
  </si>
  <si>
    <t>ﾘﾌﾟﾄﾝ様ｺﾗﾎﾞ商品</t>
    <rPh sb="5" eb="6">
      <t>サマ</t>
    </rPh>
    <rPh sb="10" eb="12">
      <t>ショウヒン</t>
    </rPh>
    <phoneticPr fontId="3"/>
  </si>
  <si>
    <t>個</t>
    <phoneticPr fontId="3"/>
  </si>
  <si>
    <t>ｺﾚｽﾃﾛｰﾙ</t>
    <phoneticPr fontId="1"/>
  </si>
  <si>
    <t>100g当たり</t>
    <phoneticPr fontId="1"/>
  </si>
  <si>
    <t>g</t>
    <phoneticPr fontId="1"/>
  </si>
  <si>
    <t>%</t>
    <phoneticPr fontId="3"/>
  </si>
  <si>
    <t>%</t>
    <phoneticPr fontId="3"/>
  </si>
  <si>
    <t>-飽和脂肪酸</t>
    <phoneticPr fontId="3"/>
  </si>
  <si>
    <t>炭水化物</t>
    <phoneticPr fontId="3"/>
  </si>
  <si>
    <t>-糖質</t>
    <phoneticPr fontId="3"/>
  </si>
  <si>
    <t>-</t>
    <phoneticPr fontId="3"/>
  </si>
  <si>
    <t>　-糖類</t>
    <phoneticPr fontId="3"/>
  </si>
  <si>
    <t>-食物繊維</t>
    <phoneticPr fontId="3"/>
  </si>
  <si>
    <t>%</t>
    <phoneticPr fontId="3"/>
  </si>
  <si>
    <t>g</t>
    <phoneticPr fontId="1"/>
  </si>
  <si>
    <t>ナトリウム</t>
    <phoneticPr fontId="1"/>
  </si>
  <si>
    <t>飽和脂肪酸</t>
    <rPh sb="0" eb="2">
      <t>ホウワ</t>
    </rPh>
    <phoneticPr fontId="3"/>
  </si>
  <si>
    <t>ｺﾚｽﾃﾛｰﾙ</t>
    <phoneticPr fontId="1"/>
  </si>
  <si>
    <t>ﾌﾟﾙﾀﾞｳﾝﾘｽﾄ</t>
    <phoneticPr fontId="3"/>
  </si>
  <si>
    <t>この表示値は、目安です。</t>
    <phoneticPr fontId="3"/>
  </si>
  <si>
    <t>「この表示値は、目安です。」の一文は不要。</t>
    <phoneticPr fontId="3"/>
  </si>
  <si>
    <t>エネルギー</t>
    <phoneticPr fontId="3"/>
  </si>
  <si>
    <t>計算者：</t>
    <phoneticPr fontId="3"/>
  </si>
  <si>
    <t>確認者：</t>
    <phoneticPr fontId="3"/>
  </si>
  <si>
    <t>糖質</t>
    <phoneticPr fontId="3"/>
  </si>
  <si>
    <t>※食塩相当量は小数点第一位までの表示になっているため注意</t>
    <rPh sb="1" eb="3">
      <t>ショクエン</t>
    </rPh>
    <rPh sb="3" eb="5">
      <t>ソウトウ</t>
    </rPh>
    <rPh sb="5" eb="6">
      <t>リョウ</t>
    </rPh>
    <rPh sb="7" eb="10">
      <t>ショウスウテン</t>
    </rPh>
    <rPh sb="10" eb="11">
      <t>ダイ</t>
    </rPh>
    <rPh sb="11" eb="13">
      <t>イチイ</t>
    </rPh>
    <rPh sb="16" eb="18">
      <t>ヒョウジ</t>
    </rPh>
    <rPh sb="26" eb="28">
      <t>チュウイ</t>
    </rPh>
    <phoneticPr fontId="3"/>
  </si>
  <si>
    <t>年月日</t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</si>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</sst>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  <numFmt numFmtId="189" formatCode="#,##0.0_ ;[Red]\-#,##0.0\ "/>
    <numFmt numFmtId="190" formatCode="0.000;\-0.000;0.0;@"/>
    <numFmt numFmtId="191" formatCode="0.0;\-0.0;0;@"/>
    <numFmt numFmtId="192" formatCode="0;\-0;0;@"/>
  </numFmts>
  <fonts count="46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2.5"/>
      <color indexed="10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vertAlign val="superscript"/>
      <sz val="14"/>
      <name val="ＭＳ 明朝"/>
      <family val="1"/>
      <charset val="128"/>
    </font>
    <font>
      <sz val="18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9" fontId="2" fillId="0" borderId="0" applyFont="0" applyFill="0" applyBorder="0" applyAlignment="0" applyProtection="0">
      <alignment vertical="center"/>
    </xf>
    <xf numFmtId="0" fontId="45" fillId="0" borderId="0">
      <alignment vertical="center"/>
    </xf>
  </cellStyleXfs>
  <cellXfs count="277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0" xfId="3" quotePrefix="1" applyNumberFormat="1" applyFont="1" applyAlignment="1" applyProtection="1">
      <alignment horizontal="left"/>
      <protection locked="0"/>
    </xf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9" fillId="0" borderId="1" xfId="3" applyFont="1" applyBorder="1"/>
    <xf numFmtId="2" fontId="4" fillId="0" borderId="1" xfId="3" applyFont="1" applyBorder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7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8" fillId="0" borderId="0" xfId="3" applyNumberFormat="1" applyFont="1" applyAlignment="1" applyProtection="1">
      <alignment horizontal="left"/>
      <protection locked="0"/>
    </xf>
    <xf numFmtId="0" fontId="29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30" fillId="0" borderId="4" xfId="0" applyFont="1" applyBorder="1" applyProtection="1">
      <protection locked="0"/>
    </xf>
    <xf numFmtId="186" fontId="30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1" fillId="0" borderId="0" xfId="3" applyNumberFormat="1" applyFont="1" applyProtection="1">
      <protection locked="0"/>
    </xf>
    <xf numFmtId="2" fontId="32" fillId="0" borderId="21" xfId="3" applyFont="1" applyBorder="1"/>
    <xf numFmtId="179" fontId="33" fillId="0" borderId="22" xfId="3" applyNumberFormat="1" applyFont="1" applyBorder="1"/>
    <xf numFmtId="178" fontId="33" fillId="0" borderId="21" xfId="3" applyNumberFormat="1" applyFont="1" applyBorder="1"/>
    <xf numFmtId="178" fontId="33" fillId="0" borderId="10" xfId="3" applyNumberFormat="1" applyFont="1" applyBorder="1"/>
    <xf numFmtId="180" fontId="33" fillId="0" borderId="21" xfId="3" applyNumberFormat="1" applyFont="1" applyBorder="1"/>
    <xf numFmtId="180" fontId="33" fillId="0" borderId="10" xfId="3" applyNumberFormat="1" applyFont="1" applyBorder="1"/>
    <xf numFmtId="179" fontId="33" fillId="0" borderId="23" xfId="3" applyNumberFormat="1" applyFont="1" applyBorder="1"/>
    <xf numFmtId="176" fontId="33" fillId="0" borderId="2" xfId="3" applyNumberFormat="1" applyFont="1" applyBorder="1" applyAlignment="1" applyProtection="1">
      <alignment horizontal="right"/>
      <protection locked="0"/>
    </xf>
    <xf numFmtId="176" fontId="33" fillId="0" borderId="3" xfId="3" applyNumberFormat="1" applyFont="1" applyBorder="1" applyAlignment="1" applyProtection="1">
      <alignment horizontal="right"/>
      <protection locked="0"/>
    </xf>
    <xf numFmtId="176" fontId="33" fillId="0" borderId="1" xfId="3" applyNumberFormat="1" applyFont="1" applyBorder="1" applyAlignment="1" applyProtection="1">
      <alignment horizontal="right"/>
      <protection locked="0"/>
    </xf>
    <xf numFmtId="176" fontId="33" fillId="0" borderId="7" xfId="3" applyNumberFormat="1" applyFont="1" applyBorder="1" applyAlignment="1" applyProtection="1">
      <alignment horizontal="right"/>
      <protection locked="0"/>
    </xf>
    <xf numFmtId="2" fontId="34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0" xfId="3" applyFont="1" applyFill="1"/>
    <xf numFmtId="176" fontId="35" fillId="0" borderId="0" xfId="3" applyNumberFormat="1" applyFont="1" applyBorder="1" applyProtection="1"/>
    <xf numFmtId="176" fontId="6" fillId="0" borderId="25" xfId="3" applyNumberFormat="1" applyFont="1" applyBorder="1" applyProtection="1">
      <protection locked="0"/>
    </xf>
    <xf numFmtId="181" fontId="5" fillId="0" borderId="14" xfId="3" applyNumberFormat="1" applyFont="1" applyBorder="1" applyProtection="1"/>
    <xf numFmtId="176" fontId="5" fillId="0" borderId="19" xfId="1" applyNumberFormat="1" applyFont="1" applyBorder="1" applyProtection="1"/>
    <xf numFmtId="1" fontId="5" fillId="0" borderId="27" xfId="1" applyNumberFormat="1" applyFont="1" applyBorder="1" applyProtection="1"/>
    <xf numFmtId="1" fontId="5" fillId="0" borderId="28" xfId="1" applyNumberFormat="1" applyFont="1" applyBorder="1" applyProtection="1"/>
    <xf numFmtId="1" fontId="5" fillId="0" borderId="20" xfId="3" applyNumberFormat="1" applyFont="1" applyBorder="1" applyProtection="1"/>
    <xf numFmtId="40" fontId="5" fillId="0" borderId="4" xfId="1" applyNumberFormat="1" applyFont="1" applyBorder="1" applyProtection="1"/>
    <xf numFmtId="40" fontId="5" fillId="0" borderId="29" xfId="1" applyNumberFormat="1" applyFont="1" applyBorder="1" applyProtection="1"/>
    <xf numFmtId="40" fontId="5" fillId="0" borderId="30" xfId="1" applyNumberFormat="1" applyFont="1" applyBorder="1" applyProtection="1"/>
    <xf numFmtId="184" fontId="5" fillId="0" borderId="29" xfId="1" applyNumberFormat="1" applyFont="1" applyBorder="1" applyProtection="1"/>
    <xf numFmtId="184" fontId="5" fillId="0" borderId="30" xfId="1" applyNumberFormat="1" applyFont="1" applyBorder="1" applyProtection="1"/>
    <xf numFmtId="177" fontId="5" fillId="0" borderId="31" xfId="3" applyNumberFormat="1" applyFont="1" applyBorder="1" applyProtection="1"/>
    <xf numFmtId="177" fontId="5" fillId="0" borderId="29" xfId="3" applyNumberFormat="1" applyFont="1" applyBorder="1" applyProtection="1"/>
    <xf numFmtId="177" fontId="5" fillId="0" borderId="30" xfId="3" applyNumberFormat="1" applyFont="1" applyBorder="1" applyProtection="1"/>
    <xf numFmtId="184" fontId="5" fillId="0" borderId="30" xfId="1" applyNumberFormat="1" applyFont="1" applyBorder="1" applyAlignment="1" applyProtection="1">
      <alignment horizontal="center"/>
    </xf>
    <xf numFmtId="184" fontId="6" fillId="0" borderId="32" xfId="1" applyNumberFormat="1" applyFont="1" applyBorder="1" applyProtection="1">
      <protection locked="0"/>
    </xf>
    <xf numFmtId="176" fontId="6" fillId="0" borderId="33" xfId="3" applyNumberFormat="1" applyFont="1" applyBorder="1" applyProtection="1">
      <protection locked="0"/>
    </xf>
    <xf numFmtId="40" fontId="5" fillId="0" borderId="3" xfId="1" applyNumberFormat="1" applyFont="1" applyBorder="1" applyProtection="1"/>
    <xf numFmtId="40" fontId="5" fillId="0" borderId="31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31" xfId="1" applyNumberFormat="1" applyFont="1" applyBorder="1" applyProtection="1"/>
    <xf numFmtId="184" fontId="5" fillId="0" borderId="2" xfId="1" applyNumberFormat="1" applyFont="1" applyBorder="1" applyProtection="1"/>
    <xf numFmtId="0" fontId="36" fillId="0" borderId="0" xfId="0" applyFont="1"/>
    <xf numFmtId="184" fontId="6" fillId="0" borderId="33" xfId="1" applyNumberFormat="1" applyFont="1" applyBorder="1" applyProtection="1">
      <protection locked="0"/>
    </xf>
    <xf numFmtId="184" fontId="6" fillId="0" borderId="34" xfId="1" applyNumberFormat="1" applyFont="1" applyBorder="1" applyProtection="1">
      <protection locked="0"/>
    </xf>
    <xf numFmtId="182" fontId="0" fillId="0" borderId="29" xfId="0" applyNumberFormat="1" applyBorder="1"/>
    <xf numFmtId="182" fontId="0" fillId="0" borderId="30" xfId="0" applyNumberFormat="1" applyBorder="1"/>
    <xf numFmtId="184" fontId="6" fillId="0" borderId="29" xfId="1" applyNumberFormat="1" applyFont="1" applyBorder="1" applyAlignment="1" applyProtection="1">
      <alignment horizontal="right"/>
      <protection locked="0"/>
    </xf>
    <xf numFmtId="184" fontId="11" fillId="0" borderId="6" xfId="1" applyNumberFormat="1" applyFont="1" applyBorder="1" applyAlignment="1">
      <alignment horizontal="center"/>
    </xf>
    <xf numFmtId="184" fontId="11" fillId="0" borderId="6" xfId="3" applyNumberFormat="1" applyFont="1" applyBorder="1" applyAlignment="1">
      <alignment horizontal="right"/>
    </xf>
    <xf numFmtId="2" fontId="37" fillId="0" borderId="0" xfId="3" applyFont="1" applyFill="1" applyBorder="1" applyAlignment="1">
      <alignment vertical="center"/>
    </xf>
    <xf numFmtId="184" fontId="38" fillId="4" borderId="4" xfId="1" applyNumberFormat="1" applyFont="1" applyFill="1" applyBorder="1" applyAlignment="1" applyProtection="1">
      <alignment horizontal="center"/>
    </xf>
    <xf numFmtId="184" fontId="38" fillId="4" borderId="29" xfId="1" applyNumberFormat="1" applyFont="1" applyFill="1" applyBorder="1" applyAlignment="1" applyProtection="1">
      <alignment horizontal="center"/>
    </xf>
    <xf numFmtId="2" fontId="5" fillId="6" borderId="35" xfId="3" applyNumberFormat="1" applyFont="1" applyFill="1" applyBorder="1" applyAlignment="1" applyProtection="1">
      <alignment horizontal="center"/>
      <protection locked="0"/>
    </xf>
    <xf numFmtId="49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3" applyNumberFormat="1" applyFont="1" applyBorder="1" applyAlignment="1" applyProtection="1">
      <alignment horizontal="center"/>
      <protection locked="0"/>
    </xf>
    <xf numFmtId="2" fontId="5" fillId="6" borderId="1" xfId="3" applyNumberFormat="1" applyFont="1" applyFill="1" applyBorder="1" applyAlignment="1" applyProtection="1">
      <alignment horizontal="center"/>
    </xf>
    <xf numFmtId="2" fontId="5" fillId="6" borderId="2" xfId="3" applyNumberFormat="1" applyFont="1" applyFill="1" applyBorder="1" applyAlignment="1" applyProtection="1">
      <alignment horizontal="center"/>
    </xf>
    <xf numFmtId="2" fontId="5" fillId="6" borderId="3" xfId="3" applyNumberFormat="1" applyFont="1" applyFill="1" applyBorder="1" applyAlignment="1" applyProtection="1">
      <alignment horizontal="center"/>
    </xf>
    <xf numFmtId="183" fontId="5" fillId="6" borderId="4" xfId="3" applyNumberFormat="1" applyFont="1" applyFill="1" applyBorder="1" applyAlignment="1" applyProtection="1">
      <alignment horizontal="center"/>
    </xf>
    <xf numFmtId="2" fontId="5" fillId="6" borderId="4" xfId="3" applyNumberFormat="1" applyFont="1" applyFill="1" applyBorder="1" applyAlignment="1" applyProtection="1">
      <alignment horizontal="center"/>
    </xf>
    <xf numFmtId="184" fontId="5" fillId="6" borderId="4" xfId="1" applyNumberFormat="1" applyFont="1" applyFill="1" applyBorder="1" applyAlignment="1" applyProtection="1">
      <alignment horizontal="center"/>
    </xf>
    <xf numFmtId="184" fontId="5" fillId="6" borderId="30" xfId="1" applyNumberFormat="1" applyFont="1" applyFill="1" applyBorder="1" applyAlignment="1" applyProtection="1">
      <alignment horizontal="center"/>
    </xf>
    <xf numFmtId="184" fontId="38" fillId="0" borderId="4" xfId="1" applyNumberFormat="1" applyFont="1" applyBorder="1" applyAlignment="1" applyProtection="1">
      <alignment horizontal="center"/>
    </xf>
    <xf numFmtId="184" fontId="38" fillId="0" borderId="29" xfId="1" applyNumberFormat="1" applyFont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  <protection locked="0"/>
    </xf>
    <xf numFmtId="176" fontId="35" fillId="0" borderId="0" xfId="3" applyNumberFormat="1" applyFont="1" applyBorder="1" applyProtection="1">
      <protection locked="0"/>
    </xf>
    <xf numFmtId="176" fontId="35" fillId="0" borderId="14" xfId="3" applyNumberFormat="1" applyFont="1" applyBorder="1" applyProtection="1"/>
    <xf numFmtId="2" fontId="39" fillId="0" borderId="0" xfId="0" applyNumberFormat="1" applyFont="1" applyProtection="1">
      <protection locked="0"/>
    </xf>
    <xf numFmtId="2" fontId="5" fillId="7" borderId="0" xfId="3" applyFont="1" applyFill="1"/>
    <xf numFmtId="2" fontId="40" fillId="0" borderId="4" xfId="0" applyNumberFormat="1" applyFont="1" applyBorder="1" applyAlignment="1" applyProtection="1">
      <alignment horizontal="left"/>
      <protection locked="0"/>
    </xf>
    <xf numFmtId="2" fontId="41" fillId="0" borderId="36" xfId="0" applyNumberFormat="1" applyFont="1" applyBorder="1" applyProtection="1">
      <protection locked="0"/>
    </xf>
    <xf numFmtId="0" fontId="41" fillId="0" borderId="4" xfId="0" applyFont="1" applyBorder="1" applyProtection="1">
      <protection locked="0"/>
    </xf>
    <xf numFmtId="2" fontId="41" fillId="0" borderId="4" xfId="0" applyNumberFormat="1" applyFont="1" applyBorder="1" applyProtection="1">
      <protection locked="0"/>
    </xf>
    <xf numFmtId="180" fontId="30" fillId="0" borderId="4" xfId="0" applyNumberFormat="1" applyFont="1" applyBorder="1" applyProtection="1">
      <protection locked="0"/>
    </xf>
    <xf numFmtId="182" fontId="30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8" fontId="11" fillId="0" borderId="6" xfId="3" applyNumberFormat="1" applyFont="1" applyBorder="1" applyAlignment="1">
      <alignment horizontal="center"/>
    </xf>
    <xf numFmtId="188" fontId="11" fillId="0" borderId="6" xfId="1" applyNumberFormat="1" applyFont="1" applyBorder="1" applyAlignment="1">
      <alignment horizontal="center"/>
    </xf>
    <xf numFmtId="2" fontId="6" fillId="6" borderId="38" xfId="3" applyNumberFormat="1" applyFont="1" applyFill="1" applyBorder="1" applyProtection="1">
      <protection locked="0"/>
    </xf>
    <xf numFmtId="189" fontId="6" fillId="4" borderId="39" xfId="1" applyNumberFormat="1" applyFont="1" applyFill="1" applyBorder="1" applyProtection="1">
      <protection locked="0"/>
    </xf>
    <xf numFmtId="176" fontId="42" fillId="0" borderId="0" xfId="3" applyNumberFormat="1" applyFont="1" applyBorder="1" applyProtection="1">
      <protection locked="0"/>
    </xf>
    <xf numFmtId="176" fontId="41" fillId="0" borderId="36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179" fontId="33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11" fillId="0" borderId="6" xfId="3" applyFont="1" applyFill="1" applyBorder="1" applyAlignment="1">
      <alignment horizontal="center"/>
    </xf>
    <xf numFmtId="2" fontId="7" fillId="0" borderId="6" xfId="3" applyFont="1" applyBorder="1" applyAlignment="1">
      <alignment horizontal="right"/>
    </xf>
    <xf numFmtId="2" fontId="7" fillId="0" borderId="6" xfId="3" applyFont="1" applyBorder="1" applyAlignment="1">
      <alignment horizontal="center"/>
    </xf>
    <xf numFmtId="2" fontId="7" fillId="0" borderId="0" xfId="3" applyFont="1" applyBorder="1" applyAlignment="1">
      <alignment horizontal="left" indent="2"/>
    </xf>
    <xf numFmtId="2" fontId="7" fillId="0" borderId="6" xfId="3" applyFont="1" applyBorder="1" applyAlignment="1">
      <alignment horizontal="right" indent="2"/>
    </xf>
    <xf numFmtId="190" fontId="11" fillId="0" borderId="6" xfId="3" applyNumberFormat="1" applyFont="1" applyBorder="1" applyAlignment="1">
      <alignment horizontal="right"/>
    </xf>
    <xf numFmtId="2" fontId="5" fillId="0" borderId="4" xfId="3" applyFont="1" applyBorder="1" applyAlignment="1"/>
    <xf numFmtId="2" fontId="5" fillId="0" borderId="30" xfId="3" applyFont="1" applyBorder="1" applyAlignment="1"/>
    <xf numFmtId="2" fontId="5" fillId="0" borderId="30" xfId="3" applyFont="1" applyBorder="1"/>
    <xf numFmtId="49" fontId="5" fillId="0" borderId="30" xfId="3" applyNumberFormat="1" applyFont="1" applyBorder="1"/>
    <xf numFmtId="2" fontId="5" fillId="0" borderId="36" xfId="3" applyFont="1" applyBorder="1" applyAlignment="1"/>
    <xf numFmtId="2" fontId="5" fillId="0" borderId="36" xfId="3" applyFont="1" applyBorder="1"/>
    <xf numFmtId="1" fontId="5" fillId="0" borderId="36" xfId="3" applyNumberFormat="1" applyFont="1" applyBorder="1" applyAlignment="1"/>
    <xf numFmtId="176" fontId="5" fillId="0" borderId="22" xfId="3" applyNumberFormat="1" applyFont="1" applyBorder="1" applyAlignment="1"/>
    <xf numFmtId="176" fontId="5" fillId="0" borderId="30" xfId="3" applyNumberFormat="1" applyFont="1" applyBorder="1" applyAlignment="1"/>
    <xf numFmtId="1" fontId="5" fillId="0" borderId="22" xfId="3" applyNumberFormat="1" applyFont="1" applyBorder="1" applyAlignment="1"/>
    <xf numFmtId="191" fontId="11" fillId="0" borderId="6" xfId="3" applyNumberFormat="1" applyFont="1" applyBorder="1" applyAlignment="1">
      <alignment horizontal="center"/>
    </xf>
    <xf numFmtId="184" fontId="35" fillId="0" borderId="26" xfId="1" applyNumberFormat="1" applyFont="1" applyBorder="1" applyProtection="1">
      <protection locked="0"/>
    </xf>
    <xf numFmtId="184" fontId="35" fillId="0" borderId="0" xfId="1" applyNumberFormat="1" applyFont="1" applyBorder="1" applyProtection="1">
      <protection locked="0"/>
    </xf>
    <xf numFmtId="192" fontId="11" fillId="0" borderId="6" xfId="3" applyNumberFormat="1" applyFont="1" applyBorder="1" applyAlignment="1">
      <alignment horizontal="center"/>
    </xf>
    <xf numFmtId="192" fontId="11" fillId="0" borderId="6" xfId="3" applyNumberFormat="1" applyFont="1" applyBorder="1" applyAlignment="1">
      <alignment horizontal="right"/>
    </xf>
    <xf numFmtId="176" fontId="6" fillId="0" borderId="4" xfId="3" applyNumberFormat="1" applyFont="1" applyBorder="1" applyProtection="1">
      <protection locked="0"/>
    </xf>
    <xf numFmtId="2" fontId="44" fillId="0" borderId="22" xfId="3" applyFont="1" applyBorder="1" applyAlignment="1">
      <alignment horizontal="center" vertical="center" wrapText="1"/>
    </xf>
    <xf numFmtId="2" fontId="44" fillId="0" borderId="10" xfId="3" applyFont="1" applyBorder="1" applyAlignment="1">
      <alignment horizontal="center" vertical="center" wrapText="1"/>
    </xf>
    <xf numFmtId="2" fontId="44" fillId="0" borderId="23" xfId="3" applyFont="1" applyBorder="1" applyAlignment="1">
      <alignment horizontal="center" vertical="center" wrapText="1"/>
    </xf>
    <xf numFmtId="2" fontId="44" fillId="0" borderId="2" xfId="3" applyFont="1" applyBorder="1" applyAlignment="1">
      <alignment horizontal="center" vertical="center" wrapText="1"/>
    </xf>
    <xf numFmtId="2" fontId="44" fillId="0" borderId="1" xfId="3" applyFont="1" applyBorder="1" applyAlignment="1">
      <alignment horizontal="center" vertical="center" wrapText="1"/>
    </xf>
    <xf numFmtId="2" fontId="44" fillId="0" borderId="7" xfId="3" applyFont="1" applyBorder="1" applyAlignment="1">
      <alignment horizontal="center" vertical="center" wrapText="1"/>
    </xf>
    <xf numFmtId="2" fontId="5" fillId="0" borderId="22" xfId="3" applyFont="1" applyBorder="1" applyAlignment="1">
      <alignment horizontal="center" wrapText="1"/>
    </xf>
    <xf numFmtId="2" fontId="5" fillId="0" borderId="23" xfId="3" applyFont="1" applyBorder="1" applyAlignment="1">
      <alignment horizontal="center" wrapText="1"/>
    </xf>
    <xf numFmtId="2" fontId="5" fillId="0" borderId="2" xfId="3" applyFont="1" applyBorder="1" applyAlignment="1">
      <alignment horizontal="center" wrapText="1"/>
    </xf>
    <xf numFmtId="2" fontId="5" fillId="0" borderId="7" xfId="3" applyFont="1" applyBorder="1" applyAlignment="1">
      <alignment horizontal="center" wrapText="1"/>
    </xf>
    <xf numFmtId="2" fontId="5" fillId="0" borderId="22" xfId="3" applyFont="1" applyBorder="1" applyAlignment="1">
      <alignment horizontal="center" vertical="center" wrapText="1"/>
    </xf>
    <xf numFmtId="2" fontId="5" fillId="0" borderId="23" xfId="3" applyFont="1" applyBorder="1" applyAlignment="1">
      <alignment horizontal="center" vertical="center" wrapText="1"/>
    </xf>
    <xf numFmtId="2" fontId="5" fillId="0" borderId="2" xfId="3" applyFont="1" applyBorder="1" applyAlignment="1">
      <alignment horizontal="center" vertical="center" wrapText="1"/>
    </xf>
    <xf numFmtId="2" fontId="5" fillId="0" borderId="7" xfId="3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2" fontId="4" fillId="3" borderId="24" xfId="3" applyFont="1" applyFill="1" applyBorder="1" applyAlignment="1">
      <alignment horizontal="center" vertical="center" wrapText="1"/>
    </xf>
    <xf numFmtId="2" fontId="5" fillId="6" borderId="37" xfId="3" applyNumberFormat="1" applyFont="1" applyFill="1" applyBorder="1" applyAlignment="1" applyProtection="1">
      <alignment horizontal="center"/>
    </xf>
    <xf numFmtId="0" fontId="6" fillId="0" borderId="3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2" fontId="5" fillId="6" borderId="35" xfId="3" applyNumberFormat="1" applyFont="1" applyFill="1" applyBorder="1" applyAlignment="1" applyProtection="1">
      <alignment horizontal="center"/>
    </xf>
    <xf numFmtId="2" fontId="13" fillId="0" borderId="0" xfId="3" applyFont="1" applyFill="1" applyBorder="1" applyAlignment="1">
      <alignment vertical="center"/>
    </xf>
    <xf numFmtId="176" fontId="6" fillId="9" borderId="2" xfId="3" applyNumberFormat="1" applyFont="1" applyFill="1" applyBorder="1" applyProtection="1">
      <protection locked="0"/>
    </xf>
    <xf numFmtId="176" fontId="6" fillId="9" borderId="13" xfId="3" applyNumberFormat="1" applyFont="1" applyFill="1" applyBorder="1" applyProtection="1">
      <protection locked="0"/>
    </xf>
    <xf numFmtId="2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6" fontId="6" fillId="0" borderId="40" xfId="3" applyNumberFormat="1" applyFont="1" applyBorder="1" applyProtection="1">
      <protection locked="0"/>
    </xf>
    <xf numFmtId="2" fontId="6" fillId="4" borderId="40" xfId="3" applyNumberFormat="1" applyFont="1" applyFill="1" applyBorder="1" applyProtection="1">
      <protection locked="0"/>
    </xf>
    <xf numFmtId="2" fontId="6" fillId="0" borderId="40" xfId="3" applyNumberFormat="1" applyFont="1" applyBorder="1" applyProtection="1">
      <protection locked="0"/>
    </xf>
    <xf numFmtId="2" fontId="6" fillId="4" borderId="41" xfId="3" applyNumberFormat="1" applyFont="1" applyFill="1" applyBorder="1" applyProtection="1">
      <protection locked="0"/>
    </xf>
    <xf numFmtId="2" fontId="6" fillId="0" borderId="41" xfId="3" applyNumberFormat="1" applyFont="1" applyBorder="1" applyProtection="1">
      <protection locked="0"/>
    </xf>
    <xf numFmtId="2" fontId="6" fillId="4" borderId="40" xfId="4" applyNumberFormat="1" applyFont="1" applyFill="1" applyBorder="1" applyAlignment="1" applyProtection="1">
      <protection locked="0"/>
    </xf>
    <xf numFmtId="176" fontId="6" fillId="8" borderId="2" xfId="3" applyNumberFormat="1" applyFont="1" applyFill="1" applyBorder="1" applyProtection="1">
      <protection locked="0"/>
    </xf>
    <xf numFmtId="177" fontId="6" fillId="8" borderId="2" xfId="3" applyNumberFormat="1" applyFont="1" applyFill="1" applyBorder="1" applyProtection="1">
      <protection locked="0"/>
    </xf>
    <xf numFmtId="1" fontId="6" fillId="8" borderId="15" xfId="3" applyNumberFormat="1" applyFont="1" applyFill="1" applyBorder="1" applyProtection="1">
      <protection locked="0"/>
    </xf>
    <xf numFmtId="2" fontId="6" fillId="8" borderId="15" xfId="3" applyNumberFormat="1" applyFont="1" applyFill="1" applyBorder="1" applyProtection="1">
      <protection locked="0"/>
    </xf>
    <xf numFmtId="176" fontId="6" fillId="0" borderId="40" xfId="3" applyNumberFormat="1" applyFont="1" applyBorder="1" applyProtection="1">
      <protection locked="0"/>
    </xf>
    <xf numFmtId="2" fontId="6" fillId="4" borderId="40" xfId="3" applyNumberFormat="1" applyFont="1" applyFill="1" applyBorder="1" applyProtection="1">
      <protection locked="0"/>
    </xf>
    <xf numFmtId="2" fontId="6" fillId="0" borderId="40" xfId="3" applyNumberFormat="1" applyFont="1" applyBorder="1" applyProtection="1">
      <protection locked="0"/>
    </xf>
    <xf numFmtId="2" fontId="6" fillId="4" borderId="41" xfId="3" applyNumberFormat="1" applyFont="1" applyFill="1" applyBorder="1" applyProtection="1">
      <protection locked="0"/>
    </xf>
    <xf numFmtId="2" fontId="6" fillId="0" borderId="41" xfId="3" applyNumberFormat="1" applyFont="1" applyBorder="1" applyProtection="1">
      <protection locked="0"/>
    </xf>
    <xf numFmtId="2" fontId="6" fillId="4" borderId="40" xfId="4" applyNumberFormat="1" applyFont="1" applyFill="1" applyBorder="1" applyAlignment="1" applyProtection="1">
      <protection locked="0"/>
    </xf>
    <xf numFmtId="38" fontId="6" fillId="9" borderId="13" xfId="1" applyFont="1" applyFill="1" applyBorder="1" applyProtection="1">
      <protection locked="0"/>
    </xf>
    <xf numFmtId="2" fontId="6" fillId="9" borderId="13" xfId="3" applyNumberFormat="1" applyFont="1" applyFill="1" applyBorder="1" applyProtection="1">
      <protection locked="0"/>
    </xf>
    <xf numFmtId="2" fontId="6" fillId="9" borderId="25" xfId="3" applyNumberFormat="1" applyFont="1" applyFill="1" applyBorder="1" applyProtection="1">
      <protection locked="0"/>
    </xf>
    <xf numFmtId="176" fontId="6" fillId="8" borderId="4" xfId="3" applyNumberFormat="1" applyFont="1" applyFill="1" applyBorder="1" applyProtection="1">
      <protection locked="0"/>
    </xf>
    <xf numFmtId="176" fontId="35" fillId="9" borderId="13" xfId="3" applyNumberFormat="1" applyFont="1" applyFill="1" applyBorder="1" applyProtection="1">
      <protection locked="0"/>
    </xf>
    <xf numFmtId="176" fontId="35" fillId="9" borderId="15" xfId="3" applyNumberFormat="1" applyFont="1" applyFill="1" applyBorder="1" applyProtection="1">
      <protection locked="0"/>
    </xf>
    <xf numFmtId="1" fontId="35" fillId="9" borderId="15" xfId="3" applyNumberFormat="1" applyFont="1" applyFill="1" applyBorder="1" applyProtection="1">
      <protection locked="0"/>
    </xf>
  </cellXfs>
  <cellStyles count="6">
    <cellStyle name="パーセント" xfId="4" builtinId="5"/>
    <cellStyle name="桁区切り 2" xfId="1"/>
    <cellStyle name="標準" xfId="0" builtinId="0"/>
    <cellStyle name="標準 2" xfId="2"/>
    <cellStyle name="標準 3 4" xfId="5"/>
    <cellStyle name="標準_ﾊﾞﾀｰﾛｰﾙ生地" xfId="3"/>
  </cellStyles>
  <dxfs count="14">
    <dxf>
      <font>
        <color theme="0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29936</xdr:colOff>
          <xdr:row>85</xdr:row>
          <xdr:rowOff>186419</xdr:rowOff>
        </xdr:from>
        <xdr:to>
          <xdr:col>22</xdr:col>
          <xdr:colOff>63954</xdr:colOff>
          <xdr:row>87</xdr:row>
          <xdr:rowOff>63954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2721</xdr:colOff>
          <xdr:row>102</xdr:row>
          <xdr:rowOff>223158</xdr:rowOff>
        </xdr:from>
        <xdr:to>
          <xdr:col>22</xdr:col>
          <xdr:colOff>36739</xdr:colOff>
          <xdr:row>104</xdr:row>
          <xdr:rowOff>48986</xdr:rowOff>
        </xdr:to>
        <xdr:sp macro="" textlink="">
          <xdr:nvSpPr>
            <xdr:cNvPr id="2050" name="cmdCopy104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145597</xdr:colOff>
          <xdr:row>85</xdr:row>
          <xdr:rowOff>172811</xdr:rowOff>
        </xdr:from>
        <xdr:to>
          <xdr:col>26</xdr:col>
          <xdr:colOff>440872</xdr:colOff>
          <xdr:row>87</xdr:row>
          <xdr:rowOff>50346</xdr:rowOff>
        </xdr:to>
        <xdr:sp macro="" textlink="">
          <xdr:nvSpPr>
            <xdr:cNvPr id="2051" name="cmdClear87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178254</xdr:colOff>
          <xdr:row>103</xdr:row>
          <xdr:rowOff>5443</xdr:rowOff>
        </xdr:from>
        <xdr:to>
          <xdr:col>26</xdr:col>
          <xdr:colOff>425904</xdr:colOff>
          <xdr:row>104</xdr:row>
          <xdr:rowOff>62593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122464</xdr:rowOff>
    </xdr:from>
    <xdr:to>
      <xdr:col>27</xdr:col>
      <xdr:colOff>246166</xdr:colOff>
      <xdr:row>4</xdr:row>
      <xdr:rowOff>81642</xdr:rowOff>
    </xdr:to>
    <xdr:sp macro="" textlink="">
      <xdr:nvSpPr>
        <xdr:cNvPr id="2" name="角丸四角形 1"/>
        <xdr:cNvSpPr/>
      </xdr:nvSpPr>
      <xdr:spPr bwMode="auto">
        <a:xfrm>
          <a:off x="12208328" y="341539"/>
          <a:ext cx="1630013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54429</xdr:colOff>
      <xdr:row>8</xdr:row>
      <xdr:rowOff>27212</xdr:rowOff>
    </xdr:from>
    <xdr:to>
      <xdr:col>8</xdr:col>
      <xdr:colOff>585107</xdr:colOff>
      <xdr:row>14</xdr:row>
      <xdr:rowOff>54428</xdr:rowOff>
    </xdr:to>
    <xdr:sp macro="" textlink="">
      <xdr:nvSpPr>
        <xdr:cNvPr id="3" name="角丸四角形吹き出し 2"/>
        <xdr:cNvSpPr/>
      </xdr:nvSpPr>
      <xdr:spPr bwMode="auto">
        <a:xfrm>
          <a:off x="1469572" y="1904998"/>
          <a:ext cx="5674178" cy="1592037"/>
        </a:xfrm>
        <a:prstGeom prst="wedgeRoundRectCallout">
          <a:avLst>
            <a:gd name="adj1" fmla="val 23397"/>
            <a:gd name="adj2" fmla="val -86755"/>
            <a:gd name="adj3" fmla="val 16667"/>
          </a:avLst>
        </a:prstGeom>
        <a:solidFill>
          <a:srgbClr val="FFCCFF"/>
        </a:solidFill>
        <a:ln w="9525" cap="flat" cmpd="sng" algn="ctr">
          <a:solidFill>
            <a:srgbClr val="FF66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400"/>
            <a:t>品名、入数、単位、工場名をそれぞれ入力する形式に変更。</a:t>
          </a:r>
          <a:endParaRPr kumimoji="1" lang="en-US" altLang="ja-JP" sz="1400"/>
        </a:p>
        <a:p>
          <a:pPr algn="l"/>
          <a:r>
            <a:rPr kumimoji="1" lang="ja-JP" altLang="en-US" sz="1400"/>
            <a:t>こちらに記入した単位が右ﾍﾟｰｼﾞの商品名と単位にﾘﾝｸするようになります。</a:t>
          </a:r>
          <a:r>
            <a:rPr kumimoji="1" lang="en-US" altLang="ja-JP" sz="1400"/>
            <a:t>(1</a:t>
          </a:r>
          <a:r>
            <a:rPr kumimoji="1" lang="ja-JP" altLang="en-US" sz="1400"/>
            <a:t>個の場合、品名に入数は入りません）</a:t>
          </a:r>
          <a:endParaRPr kumimoji="1" lang="en-US" altLang="ja-JP" sz="1400"/>
        </a:p>
        <a:p>
          <a:pPr algn="l"/>
          <a:r>
            <a:rPr kumimoji="1" lang="en-US" altLang="ja-JP" sz="1400"/>
            <a:t>※</a:t>
          </a:r>
          <a:r>
            <a:rPr kumimoji="1" lang="ja-JP" altLang="en-US" sz="1400"/>
            <a:t>ﾊﾟｯｹｰｼﾞを</a:t>
          </a:r>
          <a:r>
            <a:rPr kumimoji="1" lang="en-US" altLang="ja-JP" sz="1400">
              <a:solidFill>
                <a:srgbClr val="FF0000"/>
              </a:solidFill>
            </a:rPr>
            <a:t>1</a:t>
          </a:r>
          <a:r>
            <a:rPr kumimoji="1" lang="ja-JP" altLang="en-US" sz="1400">
              <a:solidFill>
                <a:srgbClr val="FF0000"/>
              </a:solidFill>
            </a:rPr>
            <a:t>包装で載せる場合</a:t>
          </a:r>
          <a:r>
            <a:rPr kumimoji="1" lang="ja-JP" altLang="en-US" sz="1400"/>
            <a:t>、計算表の単位は</a:t>
          </a:r>
          <a:r>
            <a:rPr kumimoji="1" lang="en-US" altLang="ja-JP" sz="1400"/>
            <a:t>AA69</a:t>
          </a:r>
          <a:r>
            <a:rPr kumimoji="1" lang="ja-JP" altLang="en-US" sz="1400"/>
            <a:t>のﾘｽﾄからｺﾋﾟｰして貼り付けになります。</a:t>
          </a:r>
          <a:endParaRPr kumimoji="1" lang="en-US" altLang="ja-JP" sz="1400"/>
        </a:p>
      </xdr:txBody>
    </xdr:sp>
    <xdr:clientData/>
  </xdr:twoCellAnchor>
  <xdr:twoCellAnchor>
    <xdr:from>
      <xdr:col>6</xdr:col>
      <xdr:colOff>653143</xdr:colOff>
      <xdr:row>5</xdr:row>
      <xdr:rowOff>217715</xdr:rowOff>
    </xdr:from>
    <xdr:to>
      <xdr:col>32</xdr:col>
      <xdr:colOff>54429</xdr:colOff>
      <xdr:row>11</xdr:row>
      <xdr:rowOff>136071</xdr:rowOff>
    </xdr:to>
    <xdr:cxnSp macro="">
      <xdr:nvCxnSpPr>
        <xdr:cNvPr id="5" name="直線矢印コネクタ 4"/>
        <xdr:cNvCxnSpPr/>
      </xdr:nvCxnSpPr>
      <xdr:spPr bwMode="auto">
        <a:xfrm>
          <a:off x="5742214" y="1306286"/>
          <a:ext cx="11089822" cy="13607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642257</xdr:colOff>
      <xdr:row>5</xdr:row>
      <xdr:rowOff>206830</xdr:rowOff>
    </xdr:from>
    <xdr:to>
      <xdr:col>26</xdr:col>
      <xdr:colOff>1360715</xdr:colOff>
      <xdr:row>6</xdr:row>
      <xdr:rowOff>163286</xdr:rowOff>
    </xdr:to>
    <xdr:cxnSp macro="">
      <xdr:nvCxnSpPr>
        <xdr:cNvPr id="6" name="直線矢印コネクタ 5"/>
        <xdr:cNvCxnSpPr/>
      </xdr:nvCxnSpPr>
      <xdr:spPr bwMode="auto">
        <a:xfrm>
          <a:off x="5731328" y="1295401"/>
          <a:ext cx="7753351" cy="22859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/>
  <dimension ref="A1:AZ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1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44" width="14.5" style="4" customWidth="1"/>
    <col min="45" max="45" width="11.125" style="4" bestFit="1" customWidth="1"/>
    <col min="46" max="46" width="6.5" style="4" customWidth="1"/>
    <col min="47" max="47" width="8.125" style="4" customWidth="1"/>
    <col min="48" max="48" width="3.375" style="4" customWidth="1"/>
    <col min="49" max="50" width="10.625" style="4"/>
    <col min="51" max="51" width="15.5" style="4" customWidth="1"/>
    <col min="52" max="52" width="12" style="4" customWidth="1"/>
    <col min="53" max="16384" width="10.625" style="4"/>
  </cols>
  <sheetData>
    <row r="1" spans="1:52" x14ac:dyDescent="0.2">
      <c r="A1" s="1" t="s">
        <v>0</v>
      </c>
      <c r="C1" s="2" t="s">
        <v>137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82" t="s">
        <v>111</v>
      </c>
    </row>
    <row r="2" spans="1:52" x14ac:dyDescent="0.2">
      <c r="A2" s="127" t="s">
        <v>113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52" x14ac:dyDescent="0.2">
      <c r="A3" s="1" t="s">
        <v>71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52" x14ac:dyDescent="0.2">
      <c r="A4" s="183" t="s">
        <v>114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52" x14ac:dyDescent="0.2">
      <c r="A5" s="241" t="s">
        <v>1</v>
      </c>
      <c r="B5" s="241"/>
      <c r="C5" s="241"/>
      <c r="D5" s="241"/>
      <c r="E5" s="241"/>
      <c r="F5" s="179" t="s">
        <v>80</v>
      </c>
      <c r="G5" s="179" t="s">
        <v>81</v>
      </c>
      <c r="H5" s="179" t="s">
        <v>82</v>
      </c>
      <c r="I5" s="202" t="s">
        <v>163</v>
      </c>
      <c r="J5" s="2"/>
      <c r="K5" s="2" t="s">
        <v>159</v>
      </c>
      <c r="L5" s="3"/>
      <c r="M5" s="9" t="s">
        <v>79</v>
      </c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52" ht="21" x14ac:dyDescent="0.2">
      <c r="A6" s="242"/>
      <c r="B6" s="242"/>
      <c r="C6" s="242"/>
      <c r="D6" s="242"/>
      <c r="E6" s="242"/>
      <c r="F6" s="167"/>
      <c r="G6" s="168" t="s">
        <v>138</v>
      </c>
      <c r="H6" s="169"/>
      <c r="I6" s="8"/>
      <c r="J6" s="8"/>
      <c r="K6" s="8" t="s">
        <v>160</v>
      </c>
      <c r="L6" s="9"/>
      <c r="M6" s="91" t="s">
        <v>78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52" ht="24" x14ac:dyDescent="0.25">
      <c r="A7" s="171" t="s">
        <v>2</v>
      </c>
      <c r="B7" s="171" t="s">
        <v>3</v>
      </c>
      <c r="C7" s="171" t="s">
        <v>4</v>
      </c>
      <c r="D7" s="171" t="s">
        <v>5</v>
      </c>
      <c r="E7" s="171" t="s">
        <v>6</v>
      </c>
      <c r="F7" s="171" t="s">
        <v>7</v>
      </c>
      <c r="G7" s="171" t="s">
        <v>8</v>
      </c>
      <c r="H7" s="171" t="s">
        <v>9</v>
      </c>
      <c r="I7" s="174" t="s">
        <v>10</v>
      </c>
      <c r="J7" s="173" t="s">
        <v>11</v>
      </c>
      <c r="K7" s="174" t="s">
        <v>12</v>
      </c>
      <c r="L7" s="176" t="s">
        <v>139</v>
      </c>
      <c r="M7" s="165" t="s">
        <v>117</v>
      </c>
      <c r="N7" s="164"/>
      <c r="AA7" s="17" t="s">
        <v>14</v>
      </c>
      <c r="AB7" s="243" t="e">
        <f>IF(COUNTIF($F$6,"1"),CONCATENATE($A$6,"(",$H$6,")"),CONCATENATE($A$6,$F$6,$G$6,"入","(",$H$6,")"))</f>
        <v>#VALUE!</v>
      </c>
      <c r="AC7" s="243"/>
      <c r="AD7" s="243"/>
      <c r="AE7" s="243"/>
      <c r="AF7" s="243"/>
      <c r="AG7" s="243"/>
      <c r="AH7" s="243"/>
      <c r="AI7" s="243"/>
      <c r="AJ7" s="5"/>
    </row>
    <row r="8" spans="1:52" x14ac:dyDescent="0.2">
      <c r="A8" s="111"/>
      <c r="B8" s="112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58"/>
      <c r="N8" s="113"/>
      <c r="O8" s="4">
        <f t="shared" ref="O8:O37" si="0">SUM(C8:H8)</f>
        <v>0</v>
      </c>
      <c r="AB8" s="5"/>
    </row>
    <row r="9" spans="1:52" x14ac:dyDescent="0.2">
      <c r="A9" s="111"/>
      <c r="B9" s="112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58"/>
      <c r="N9" s="113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52" x14ac:dyDescent="0.2">
      <c r="A10" s="111"/>
      <c r="B10" s="112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58"/>
      <c r="N10" s="113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52" ht="19.5" customHeight="1" x14ac:dyDescent="0.2">
      <c r="A11" s="111"/>
      <c r="B11" s="112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58"/>
      <c r="N11" s="113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52" ht="36.75" customHeight="1" x14ac:dyDescent="0.25">
      <c r="A12" s="111"/>
      <c r="B12" s="112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58"/>
      <c r="N12" s="113"/>
      <c r="O12" s="4">
        <f t="shared" si="0"/>
        <v>0</v>
      </c>
      <c r="AA12" s="17" t="s">
        <v>15</v>
      </c>
      <c r="AB12" s="5"/>
      <c r="AC12" s="5"/>
      <c r="AD12" s="20"/>
      <c r="AE12" s="244" t="s">
        <v>140</v>
      </c>
      <c r="AF12" s="163"/>
      <c r="AG12" s="246" t="str">
        <f>"1"&amp;$G$6&amp;"当たり"</f>
        <v>1個当たり</v>
      </c>
      <c r="AH12" s="246"/>
      <c r="AI12" s="246"/>
      <c r="AJ12" s="21"/>
      <c r="AK12" s="240" t="s">
        <v>46</v>
      </c>
      <c r="AR12" s="225" t="s">
        <v>129</v>
      </c>
      <c r="AS12" s="226"/>
      <c r="AT12" s="227"/>
      <c r="AU12" s="231" t="s">
        <v>130</v>
      </c>
      <c r="AV12" s="232"/>
      <c r="AY12" s="235" t="s">
        <v>131</v>
      </c>
      <c r="AZ12" s="236"/>
    </row>
    <row r="13" spans="1:52" ht="40.700000000000003" customHeight="1" x14ac:dyDescent="0.25">
      <c r="A13" s="111"/>
      <c r="B13" s="112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58"/>
      <c r="N13" s="113"/>
      <c r="O13" s="4">
        <f t="shared" si="0"/>
        <v>0</v>
      </c>
      <c r="AA13" s="5"/>
      <c r="AB13" s="5"/>
      <c r="AC13" s="5"/>
      <c r="AD13" s="22"/>
      <c r="AE13" s="245"/>
      <c r="AF13" s="20"/>
      <c r="AG13" s="199">
        <f>IF((COUNTIF($A$6,"*7P*")+COUNTIF($A$6,"*ｾﾌﾞﾝﾌﾟﾚﾐｱﾑ*")),$B$106,ROUND($B$102,0))</f>
        <v>100</v>
      </c>
      <c r="AH13" s="24" t="s">
        <v>141</v>
      </c>
      <c r="AI13" s="23"/>
      <c r="AJ13" s="25"/>
      <c r="AK13" s="240"/>
      <c r="AR13" s="228"/>
      <c r="AS13" s="229"/>
      <c r="AT13" s="230"/>
      <c r="AU13" s="233"/>
      <c r="AV13" s="234"/>
      <c r="AY13" s="237"/>
      <c r="AZ13" s="238"/>
    </row>
    <row r="14" spans="1:52" s="26" customFormat="1" ht="22.5" x14ac:dyDescent="0.25">
      <c r="A14" s="111"/>
      <c r="B14" s="112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58"/>
      <c r="N14" s="113"/>
      <c r="O14" s="4">
        <f t="shared" si="0"/>
        <v>0</v>
      </c>
      <c r="P14" s="4"/>
      <c r="AA14" s="27" t="str">
        <f>C112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ROUND((AG15+AG19)*4+(AG16*9)+(AG21*2),0)</f>
        <v>#DIV/0!</v>
      </c>
      <c r="AH14" s="29" t="s">
        <v>51</v>
      </c>
      <c r="AI14" s="32"/>
      <c r="AJ14" s="28"/>
      <c r="AK14" s="110">
        <v>0</v>
      </c>
      <c r="AR14" s="210" t="str">
        <f>C112</f>
        <v>エネルギー</v>
      </c>
      <c r="AS14" s="218" t="e">
        <f t="shared" ref="AS14:AS22" si="1">AG14</f>
        <v>#DIV/0!</v>
      </c>
      <c r="AT14" s="213" t="s">
        <v>51</v>
      </c>
      <c r="AU14" s="217" t="e">
        <f>AS14/AZ14*100</f>
        <v>#DIV/0!</v>
      </c>
      <c r="AV14" s="213" t="s">
        <v>142</v>
      </c>
      <c r="AY14" s="209" t="str">
        <f>C112</f>
        <v>エネルギー</v>
      </c>
      <c r="AZ14" s="215">
        <v>2200</v>
      </c>
    </row>
    <row r="15" spans="1:52" ht="22.5" x14ac:dyDescent="0.25">
      <c r="A15" s="111"/>
      <c r="B15" s="112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58"/>
      <c r="N15" s="113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68</v>
      </c>
      <c r="AI15" s="32"/>
      <c r="AJ15" s="34"/>
      <c r="AK15" s="110">
        <v>1</v>
      </c>
      <c r="AR15" s="211" t="s">
        <v>124</v>
      </c>
      <c r="AS15" s="216">
        <f t="shared" si="1"/>
        <v>0</v>
      </c>
      <c r="AT15" s="214" t="s">
        <v>68</v>
      </c>
      <c r="AU15" s="217">
        <f>AS15/AZ15*100</f>
        <v>0</v>
      </c>
      <c r="AV15" s="213" t="s">
        <v>143</v>
      </c>
      <c r="AY15" s="209" t="s">
        <v>124</v>
      </c>
      <c r="AZ15" s="215">
        <v>81</v>
      </c>
    </row>
    <row r="16" spans="1:52" ht="22.5" x14ac:dyDescent="0.25">
      <c r="A16" s="111"/>
      <c r="B16" s="112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58"/>
      <c r="N16" s="113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68</v>
      </c>
      <c r="AI16" s="32"/>
      <c r="AJ16" s="34"/>
      <c r="AK16" s="110">
        <v>1</v>
      </c>
      <c r="AR16" s="211" t="s">
        <v>6</v>
      </c>
      <c r="AS16" s="216">
        <f t="shared" si="1"/>
        <v>0</v>
      </c>
      <c r="AT16" s="214" t="s">
        <v>68</v>
      </c>
      <c r="AU16" s="217">
        <f>AS16/AZ16*100</f>
        <v>0</v>
      </c>
      <c r="AV16" s="213" t="s">
        <v>142</v>
      </c>
      <c r="AY16" s="209" t="s">
        <v>6</v>
      </c>
      <c r="AZ16" s="215">
        <v>62</v>
      </c>
    </row>
    <row r="17" spans="1:52" ht="22.5" x14ac:dyDescent="0.25">
      <c r="A17" s="111"/>
      <c r="B17" s="112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58"/>
      <c r="N17" s="113"/>
      <c r="O17" s="4">
        <f t="shared" si="0"/>
        <v>0</v>
      </c>
      <c r="Z17" s="4" t="str">
        <f>IF(AG17&lt;15,"","＊1")</f>
        <v/>
      </c>
      <c r="AA17" s="205" t="s">
        <v>120</v>
      </c>
      <c r="AB17" s="34"/>
      <c r="AC17" s="29"/>
      <c r="AD17" s="29"/>
      <c r="AE17" s="32">
        <f>K104</f>
        <v>0</v>
      </c>
      <c r="AF17" s="31"/>
      <c r="AG17" s="32">
        <f>ROUND(($AG$13*AE17)/100,1)</f>
        <v>0</v>
      </c>
      <c r="AH17" s="29" t="s">
        <v>68</v>
      </c>
      <c r="AI17" s="32"/>
      <c r="AJ17" s="34"/>
      <c r="AK17" s="110">
        <v>1</v>
      </c>
      <c r="AR17" s="212" t="s">
        <v>144</v>
      </c>
      <c r="AS17" s="216">
        <f t="shared" si="1"/>
        <v>0</v>
      </c>
      <c r="AT17" s="214" t="s">
        <v>68</v>
      </c>
      <c r="AU17" s="217">
        <f>AS17/AZ17*100</f>
        <v>0</v>
      </c>
      <c r="AV17" s="213" t="s">
        <v>142</v>
      </c>
      <c r="AY17" s="209" t="s">
        <v>125</v>
      </c>
      <c r="AZ17" s="215">
        <v>16</v>
      </c>
    </row>
    <row r="18" spans="1:52" ht="22.5" x14ac:dyDescent="0.25">
      <c r="A18" s="111"/>
      <c r="B18" s="112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58"/>
      <c r="N18" s="113"/>
      <c r="O18" s="4">
        <f t="shared" si="0"/>
        <v>0</v>
      </c>
      <c r="AA18" s="207" t="s">
        <v>145</v>
      </c>
      <c r="AB18" s="34"/>
      <c r="AC18" s="29"/>
      <c r="AD18" s="29"/>
      <c r="AE18" s="198" t="e">
        <f>$F$106</f>
        <v>#DIV/0!</v>
      </c>
      <c r="AF18" s="191"/>
      <c r="AG18" s="198" t="e">
        <f>AG19+AG21</f>
        <v>#DIV/0!</v>
      </c>
      <c r="AH18" s="29" t="s">
        <v>68</v>
      </c>
      <c r="AI18" s="37"/>
      <c r="AJ18" s="34"/>
      <c r="AK18" s="110">
        <v>1</v>
      </c>
      <c r="AR18" s="211" t="s">
        <v>116</v>
      </c>
      <c r="AS18" s="216" t="e">
        <f t="shared" si="1"/>
        <v>#DIV/0!</v>
      </c>
      <c r="AT18" s="214" t="s">
        <v>68</v>
      </c>
      <c r="AU18" s="217" t="e">
        <f>AS18/AZ18*100</f>
        <v>#DIV/0!</v>
      </c>
      <c r="AV18" s="213" t="s">
        <v>142</v>
      </c>
      <c r="AY18" s="209" t="s">
        <v>116</v>
      </c>
      <c r="AZ18" s="215">
        <v>320</v>
      </c>
    </row>
    <row r="19" spans="1:52" ht="22.5" x14ac:dyDescent="0.25">
      <c r="A19" s="111"/>
      <c r="B19" s="112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58"/>
      <c r="N19" s="113"/>
      <c r="O19" s="4">
        <f t="shared" si="0"/>
        <v>0</v>
      </c>
      <c r="AA19" s="206" t="s">
        <v>161</v>
      </c>
      <c r="AB19" s="34"/>
      <c r="AC19" s="94"/>
      <c r="AD19" s="29"/>
      <c r="AE19" s="32" t="e">
        <f>$F$104</f>
        <v>#DIV/0!</v>
      </c>
      <c r="AF19" s="31"/>
      <c r="AG19" s="32" t="e">
        <f>ROUND(($AG$13*AE19)/100,1)</f>
        <v>#DIV/0!</v>
      </c>
      <c r="AH19" s="94" t="s">
        <v>68</v>
      </c>
      <c r="AI19" s="37"/>
      <c r="AJ19" s="34"/>
      <c r="AK19" s="110">
        <v>1</v>
      </c>
      <c r="AR19" s="212" t="s">
        <v>146</v>
      </c>
      <c r="AS19" s="216" t="e">
        <f t="shared" si="1"/>
        <v>#DIV/0!</v>
      </c>
      <c r="AT19" s="214" t="s">
        <v>68</v>
      </c>
      <c r="AU19" s="217"/>
      <c r="AV19" s="213"/>
      <c r="AY19" s="209" t="s">
        <v>126</v>
      </c>
      <c r="AZ19" s="215" t="s">
        <v>147</v>
      </c>
    </row>
    <row r="20" spans="1:52" ht="22.5" x14ac:dyDescent="0.25">
      <c r="A20" s="111"/>
      <c r="B20" s="112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58"/>
      <c r="N20" s="113"/>
      <c r="O20" s="4">
        <f t="shared" si="0"/>
        <v>0</v>
      </c>
      <c r="AA20" s="205" t="s">
        <v>118</v>
      </c>
      <c r="AB20" s="34"/>
      <c r="AC20" s="29"/>
      <c r="AD20" s="29"/>
      <c r="AE20" s="219">
        <f>$M$104</f>
        <v>0</v>
      </c>
      <c r="AF20" s="208"/>
      <c r="AG20" s="219">
        <f>ROUND(($AG$13*AE20)/100,1)</f>
        <v>0</v>
      </c>
      <c r="AH20" s="29" t="s">
        <v>68</v>
      </c>
      <c r="AI20" s="37"/>
      <c r="AJ20" s="34"/>
      <c r="AK20" s="110">
        <v>1</v>
      </c>
      <c r="AR20" s="212" t="s">
        <v>148</v>
      </c>
      <c r="AS20" s="216">
        <f t="shared" si="1"/>
        <v>0</v>
      </c>
      <c r="AT20" s="214" t="s">
        <v>68</v>
      </c>
      <c r="AU20" s="217"/>
      <c r="AV20" s="213"/>
      <c r="AY20" s="209" t="s">
        <v>127</v>
      </c>
      <c r="AZ20" s="215" t="s">
        <v>147</v>
      </c>
    </row>
    <row r="21" spans="1:52" ht="22.5" x14ac:dyDescent="0.25">
      <c r="A21" s="111"/>
      <c r="B21" s="112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58"/>
      <c r="N21" s="113"/>
      <c r="O21" s="4">
        <f t="shared" si="0"/>
        <v>0</v>
      </c>
      <c r="AA21" s="204" t="s">
        <v>119</v>
      </c>
      <c r="AB21" s="34"/>
      <c r="AC21" s="203"/>
      <c r="AD21" s="29"/>
      <c r="AE21" s="219">
        <f>$G$104</f>
        <v>0</v>
      </c>
      <c r="AF21" s="208"/>
      <c r="AG21" s="219">
        <f>ROUND(($AG$13*AE21)/100,1)</f>
        <v>0</v>
      </c>
      <c r="AH21" s="203" t="s">
        <v>68</v>
      </c>
      <c r="AI21" s="30"/>
      <c r="AJ21" s="34"/>
      <c r="AK21" s="110">
        <v>1</v>
      </c>
      <c r="AR21" s="212" t="s">
        <v>149</v>
      </c>
      <c r="AS21" s="216">
        <f t="shared" si="1"/>
        <v>0</v>
      </c>
      <c r="AT21" s="214" t="s">
        <v>68</v>
      </c>
      <c r="AU21" s="217">
        <f>AS21/AZ21*100</f>
        <v>0</v>
      </c>
      <c r="AV21" s="213" t="s">
        <v>150</v>
      </c>
      <c r="AY21" s="209" t="s">
        <v>128</v>
      </c>
      <c r="AZ21" s="215">
        <v>19</v>
      </c>
    </row>
    <row r="22" spans="1:52" ht="22.5" x14ac:dyDescent="0.25">
      <c r="A22" s="111"/>
      <c r="B22" s="112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58"/>
      <c r="N22" s="113"/>
      <c r="O22" s="4">
        <f t="shared" si="0"/>
        <v>0</v>
      </c>
      <c r="AA22" s="33" t="s">
        <v>121</v>
      </c>
      <c r="AB22" s="34"/>
      <c r="AC22" s="203"/>
      <c r="AD22" s="29"/>
      <c r="AE22" s="161">
        <f>IF($AE$24&lt;4.5,0,ROUND($AE$24/1000*2.54,2))</f>
        <v>0</v>
      </c>
      <c r="AF22" s="162"/>
      <c r="AG22" s="161">
        <f>IF($AE$24&lt;4.5,0,ROUND($AG$24/1000*2.54,1))</f>
        <v>0</v>
      </c>
      <c r="AH22" s="203" t="s">
        <v>151</v>
      </c>
      <c r="AI22" s="30"/>
      <c r="AJ22" s="34"/>
      <c r="AK22" s="110">
        <v>1</v>
      </c>
      <c r="AR22" s="211" t="s">
        <v>115</v>
      </c>
      <c r="AS22" s="217">
        <f t="shared" si="1"/>
        <v>0</v>
      </c>
      <c r="AT22" s="214" t="s">
        <v>68</v>
      </c>
      <c r="AU22" s="217"/>
      <c r="AV22" s="213"/>
      <c r="AY22" s="209" t="s">
        <v>115</v>
      </c>
      <c r="AZ22" s="215" t="s">
        <v>147</v>
      </c>
    </row>
    <row r="23" spans="1:52" ht="22.5" x14ac:dyDescent="0.25">
      <c r="A23" s="111"/>
      <c r="B23" s="112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58"/>
      <c r="N23" s="113"/>
      <c r="O23" s="4">
        <f t="shared" si="0"/>
        <v>0</v>
      </c>
      <c r="AA23" s="33"/>
      <c r="AB23" s="34"/>
      <c r="AC23" s="29"/>
      <c r="AD23" s="29"/>
      <c r="AE23" s="190"/>
      <c r="AF23" s="191"/>
      <c r="AG23" s="190"/>
      <c r="AH23" s="29"/>
      <c r="AI23" s="37"/>
      <c r="AJ23" s="34"/>
      <c r="AR23" s="4" t="s">
        <v>135</v>
      </c>
    </row>
    <row r="24" spans="1:52" ht="22.5" x14ac:dyDescent="0.25">
      <c r="A24" s="111"/>
      <c r="B24" s="112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58"/>
      <c r="N24" s="113"/>
      <c r="O24" s="4">
        <f t="shared" si="0"/>
        <v>0</v>
      </c>
      <c r="AA24" s="33" t="s">
        <v>152</v>
      </c>
      <c r="AB24" s="34"/>
      <c r="AC24" s="29"/>
      <c r="AD24" s="29"/>
      <c r="AE24" s="192">
        <f>$I$104</f>
        <v>0</v>
      </c>
      <c r="AF24" s="191"/>
      <c r="AG24" s="193">
        <f>ROUND(($AG$13*AE24)/100,0)</f>
        <v>0</v>
      </c>
      <c r="AH24" s="29" t="s">
        <v>69</v>
      </c>
      <c r="AI24" s="30"/>
      <c r="AJ24" s="34"/>
      <c r="AR24" s="4" t="s">
        <v>132</v>
      </c>
    </row>
    <row r="25" spans="1:52" ht="22.7" customHeight="1" x14ac:dyDescent="0.25">
      <c r="A25" s="111"/>
      <c r="B25" s="112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58"/>
      <c r="N25" s="113"/>
      <c r="O25" s="4">
        <f t="shared" si="0"/>
        <v>0</v>
      </c>
      <c r="AA25" s="33" t="s">
        <v>23</v>
      </c>
      <c r="AB25" s="40"/>
      <c r="AC25" s="41"/>
      <c r="AD25" s="41"/>
      <c r="AE25" s="42">
        <f>$C$104</f>
        <v>0</v>
      </c>
      <c r="AF25" s="43"/>
      <c r="AG25" s="42">
        <f>ROUND(($AG$13*AE25)/100,1)</f>
        <v>0</v>
      </c>
      <c r="AH25" s="41" t="s">
        <v>68</v>
      </c>
      <c r="AI25" s="42"/>
      <c r="AJ25" s="37"/>
      <c r="AR25" s="4" t="s">
        <v>133</v>
      </c>
    </row>
    <row r="26" spans="1:52" ht="21" x14ac:dyDescent="0.2">
      <c r="A26" s="111"/>
      <c r="B26" s="112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58"/>
      <c r="N26" s="113"/>
      <c r="O26" s="4">
        <f t="shared" si="0"/>
        <v>0</v>
      </c>
      <c r="AA26" s="33" t="s">
        <v>26</v>
      </c>
      <c r="AB26" s="40"/>
      <c r="AC26" s="41"/>
      <c r="AD26" s="41"/>
      <c r="AE26" s="42">
        <f>$H$104</f>
        <v>0</v>
      </c>
      <c r="AF26" s="43"/>
      <c r="AG26" s="42">
        <f>ROUND(($AG$13*AE26)/100,1)</f>
        <v>0</v>
      </c>
      <c r="AH26" s="41" t="s">
        <v>68</v>
      </c>
      <c r="AI26" s="42"/>
      <c r="AJ26" s="40"/>
      <c r="AR26" s="4" t="s">
        <v>134</v>
      </c>
    </row>
    <row r="27" spans="1:52" ht="22.5" x14ac:dyDescent="0.25">
      <c r="A27" s="111"/>
      <c r="B27" s="112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58"/>
      <c r="N27" s="113"/>
      <c r="O27" s="4">
        <f t="shared" si="0"/>
        <v>0</v>
      </c>
      <c r="Z27" s="4" t="str">
        <f>IF((AG27*VALUE(F6))&lt;15,"","＊1")</f>
        <v/>
      </c>
      <c r="AA27" s="33" t="s">
        <v>153</v>
      </c>
      <c r="AE27" s="190">
        <f>$K$104</f>
        <v>0</v>
      </c>
      <c r="AF27" s="47"/>
      <c r="AG27" s="190">
        <f>ROUND(($AG$13*AE27)/100,2)</f>
        <v>0</v>
      </c>
      <c r="AH27" s="29" t="s">
        <v>68</v>
      </c>
      <c r="AI27" s="37"/>
      <c r="AJ27" s="34"/>
      <c r="AK27" s="110">
        <v>2</v>
      </c>
    </row>
    <row r="28" spans="1:52" ht="22.5" x14ac:dyDescent="0.25">
      <c r="A28" s="111"/>
      <c r="B28" s="112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58"/>
      <c r="N28" s="113"/>
      <c r="O28" s="4">
        <f t="shared" si="0"/>
        <v>0</v>
      </c>
      <c r="Z28" s="4" t="str">
        <f>IF(OR(AND(AE28&gt;=0.3,AG28*VALUE(F6)&gt;=0.45),AE28&gt;=0.45),"＊2","")</f>
        <v/>
      </c>
      <c r="AA28" s="33" t="s">
        <v>122</v>
      </c>
      <c r="AB28" s="29"/>
      <c r="AC28" s="29"/>
      <c r="AD28" s="29"/>
      <c r="AE28" s="190">
        <f>$J$104</f>
        <v>0</v>
      </c>
      <c r="AF28" s="47"/>
      <c r="AG28" s="190">
        <f>ROUND(($AG$13*AE28)/100,2)</f>
        <v>0</v>
      </c>
      <c r="AH28" s="29" t="s">
        <v>68</v>
      </c>
      <c r="AI28" s="37"/>
      <c r="AJ28" s="34"/>
      <c r="AK28" s="110">
        <v>2</v>
      </c>
    </row>
    <row r="29" spans="1:52" ht="22.5" x14ac:dyDescent="0.25">
      <c r="A29" s="111"/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58"/>
      <c r="N29" s="113"/>
      <c r="O29" s="4">
        <f t="shared" si="0"/>
        <v>0</v>
      </c>
      <c r="AA29" s="33" t="s">
        <v>123</v>
      </c>
      <c r="AB29" s="29"/>
      <c r="AC29" s="29"/>
      <c r="AD29" s="29"/>
      <c r="AE29" s="222">
        <f>$L$104</f>
        <v>0</v>
      </c>
      <c r="AF29" s="223"/>
      <c r="AG29" s="222">
        <f>ROUND(($AG$13*AE29)/100,0)</f>
        <v>0</v>
      </c>
      <c r="AH29" s="29" t="s">
        <v>69</v>
      </c>
      <c r="AI29" s="37"/>
      <c r="AJ29" s="34"/>
      <c r="AK29" s="110">
        <v>0</v>
      </c>
    </row>
    <row r="30" spans="1:52" x14ac:dyDescent="0.2">
      <c r="A30" s="111"/>
      <c r="B30" s="112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58"/>
      <c r="N30" s="113"/>
      <c r="O30" s="4">
        <f t="shared" si="0"/>
        <v>0</v>
      </c>
    </row>
    <row r="31" spans="1:52" ht="21" x14ac:dyDescent="0.2">
      <c r="A31" s="111"/>
      <c r="B31" s="112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58"/>
      <c r="N31" s="113"/>
      <c r="O31" s="4">
        <f t="shared" si="0"/>
        <v>0</v>
      </c>
      <c r="W31" s="52"/>
      <c r="AA31" s="239"/>
      <c r="AB31" s="239"/>
      <c r="AC31" s="239"/>
      <c r="AD31" s="239"/>
      <c r="AE31" s="239"/>
      <c r="AF31" s="239"/>
      <c r="AG31" s="239"/>
      <c r="AH31" s="239"/>
      <c r="AI31" s="239"/>
      <c r="AJ31" s="239"/>
      <c r="AL31" s="50"/>
      <c r="AM31" s="50"/>
      <c r="AN31" s="51"/>
      <c r="AO31" s="52"/>
    </row>
    <row r="32" spans="1:52" ht="21" x14ac:dyDescent="0.2">
      <c r="A32" s="111"/>
      <c r="B32" s="112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58"/>
      <c r="N32" s="113"/>
      <c r="O32" s="4">
        <f t="shared" si="0"/>
        <v>0</v>
      </c>
      <c r="W32" s="52"/>
      <c r="AA32" s="239" t="s">
        <v>136</v>
      </c>
      <c r="AB32" s="239"/>
      <c r="AC32" s="239"/>
      <c r="AD32" s="239"/>
      <c r="AE32" s="239"/>
      <c r="AF32" s="239"/>
      <c r="AG32" s="239"/>
      <c r="AH32" s="239"/>
      <c r="AI32" s="239"/>
      <c r="AJ32" s="239"/>
      <c r="AL32" s="50"/>
      <c r="AM32" s="50"/>
      <c r="AN32" s="54"/>
      <c r="AO32" s="52"/>
    </row>
    <row r="33" spans="1:41" x14ac:dyDescent="0.2">
      <c r="A33" s="111"/>
      <c r="B33" s="112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58"/>
      <c r="N33" s="113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1"/>
      <c r="B34" s="112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58"/>
      <c r="N34" s="113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1"/>
      <c r="B35" s="112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58"/>
      <c r="N35" s="113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1"/>
      <c r="B36" s="112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58"/>
      <c r="N36" s="113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1"/>
      <c r="B37" s="112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58"/>
      <c r="N37" s="113"/>
      <c r="O37" s="4">
        <f t="shared" si="0"/>
        <v>0</v>
      </c>
      <c r="S37" s="52"/>
      <c r="W37" s="52"/>
      <c r="AA37" s="5"/>
      <c r="AB37" s="5"/>
      <c r="AC37" s="107" t="s">
        <v>30</v>
      </c>
      <c r="AD37" s="107"/>
      <c r="AE37" s="53">
        <f>IF($B$101=0,$B$84,$B$101)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47"/>
      <c r="N38" s="39"/>
      <c r="O38" s="108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1" t="s">
        <v>24</v>
      </c>
      <c r="B39" s="171" t="s">
        <v>19</v>
      </c>
      <c r="C39" s="171" t="s">
        <v>4</v>
      </c>
      <c r="D39" s="171" t="s">
        <v>5</v>
      </c>
      <c r="E39" s="171" t="s">
        <v>6</v>
      </c>
      <c r="F39" s="171" t="s">
        <v>7</v>
      </c>
      <c r="G39" s="171" t="s">
        <v>8</v>
      </c>
      <c r="H39" s="171" t="s">
        <v>9</v>
      </c>
      <c r="I39" s="172" t="s">
        <v>25</v>
      </c>
      <c r="J39" s="173" t="s">
        <v>109</v>
      </c>
      <c r="K39" s="174" t="s">
        <v>110</v>
      </c>
      <c r="L39" s="175" t="s">
        <v>50</v>
      </c>
      <c r="M39" s="178" t="str">
        <f>M7</f>
        <v>糖類</v>
      </c>
      <c r="N39" s="177">
        <f>N7</f>
        <v>0</v>
      </c>
      <c r="R39" s="51"/>
      <c r="S39" s="52"/>
      <c r="AA39" s="128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3">
        <v>100</v>
      </c>
      <c r="C40" s="45"/>
      <c r="D40" s="45"/>
      <c r="E40" s="45"/>
      <c r="F40" s="45"/>
      <c r="G40" s="45"/>
      <c r="H40" s="45"/>
      <c r="I40" s="46"/>
      <c r="J40" s="36"/>
      <c r="K40" s="92"/>
      <c r="L40" s="15"/>
      <c r="M40" s="160"/>
      <c r="N40" s="15"/>
      <c r="O40" s="4">
        <f t="shared" ref="O40:O49" si="2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1"/>
      <c r="B41" s="112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58"/>
      <c r="N41" s="113"/>
      <c r="O41" s="4">
        <f t="shared" si="2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1"/>
      <c r="B42" s="112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58"/>
      <c r="N42" s="113"/>
      <c r="O42" s="4">
        <f t="shared" si="2"/>
        <v>0</v>
      </c>
      <c r="Q42" s="50"/>
      <c r="R42" s="54"/>
      <c r="S42" s="52"/>
      <c r="AA42" s="64"/>
    </row>
    <row r="43" spans="1:41" x14ac:dyDescent="0.2">
      <c r="A43" s="184"/>
      <c r="B43" s="197"/>
      <c r="C43" s="185"/>
      <c r="D43" s="185"/>
      <c r="E43" s="185"/>
      <c r="F43" s="185"/>
      <c r="G43" s="185"/>
      <c r="H43" s="185"/>
      <c r="I43" s="185"/>
      <c r="J43" s="186"/>
      <c r="K43" s="187"/>
      <c r="L43" s="185"/>
      <c r="M43" s="158"/>
      <c r="N43" s="113"/>
      <c r="O43" s="4">
        <f t="shared" si="2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1"/>
      <c r="B44" s="188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58"/>
      <c r="N44" s="113"/>
      <c r="O44" s="4">
        <f t="shared" si="2"/>
        <v>0</v>
      </c>
      <c r="P44" s="50"/>
      <c r="Q44" s="50"/>
      <c r="R44" s="54"/>
      <c r="AA44" s="64"/>
      <c r="AI44" s="65"/>
      <c r="AJ44" s="65"/>
    </row>
    <row r="45" spans="1:41" x14ac:dyDescent="0.2">
      <c r="A45" s="111"/>
      <c r="B45" s="188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58"/>
      <c r="N45" s="113"/>
      <c r="O45" s="4">
        <f t="shared" si="2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1"/>
      <c r="B46" s="188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58"/>
      <c r="N46" s="113"/>
      <c r="O46" s="4">
        <f t="shared" si="2"/>
        <v>0</v>
      </c>
      <c r="P46" s="50"/>
      <c r="Q46" s="50"/>
      <c r="R46" s="58"/>
      <c r="AC46" s="66"/>
      <c r="AD46" s="66"/>
    </row>
    <row r="47" spans="1:41" x14ac:dyDescent="0.2">
      <c r="A47" s="111"/>
      <c r="B47" s="188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58"/>
      <c r="N47" s="113"/>
      <c r="O47" s="4">
        <f t="shared" si="2"/>
        <v>0</v>
      </c>
      <c r="P47" s="50"/>
      <c r="Q47" s="50"/>
    </row>
    <row r="48" spans="1:41" x14ac:dyDescent="0.2">
      <c r="A48" s="111"/>
      <c r="B48" s="188"/>
      <c r="C48" s="113"/>
      <c r="D48" s="113"/>
      <c r="E48" s="113"/>
      <c r="F48" s="113"/>
      <c r="G48" s="113"/>
      <c r="H48" s="113"/>
      <c r="I48" s="113"/>
      <c r="J48" s="113"/>
      <c r="K48" s="113"/>
      <c r="L48" s="159"/>
      <c r="M48" s="158"/>
      <c r="N48" s="113"/>
      <c r="O48" s="4">
        <f t="shared" si="2"/>
        <v>0</v>
      </c>
      <c r="P48" s="50"/>
      <c r="Q48" s="50"/>
      <c r="AC48" s="65"/>
      <c r="AD48" s="65"/>
    </row>
    <row r="49" spans="1:30" x14ac:dyDescent="0.2">
      <c r="A49" s="111"/>
      <c r="B49" s="188"/>
      <c r="C49" s="113"/>
      <c r="D49" s="113"/>
      <c r="E49" s="113"/>
      <c r="F49" s="113"/>
      <c r="G49" s="113"/>
      <c r="H49" s="113"/>
      <c r="I49" s="113"/>
      <c r="J49" s="113"/>
      <c r="K49" s="113"/>
      <c r="L49" s="159"/>
      <c r="M49" s="158"/>
      <c r="N49" s="113"/>
      <c r="O49" s="4">
        <f t="shared" si="2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57"/>
      <c r="N50" s="57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56"/>
      <c r="N51" s="60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6" t="s">
        <v>154</v>
      </c>
      <c r="M52" s="178" t="str">
        <f>M7</f>
        <v>糖類</v>
      </c>
      <c r="N52" s="177">
        <f>N7</f>
        <v>0</v>
      </c>
    </row>
    <row r="53" spans="1:30" x14ac:dyDescent="0.2">
      <c r="A53" s="111" t="str">
        <f>IF(A8="","",A8)</f>
        <v/>
      </c>
      <c r="B53" s="189" t="str">
        <f>IF(B8="","",B8)</f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154">
        <f t="shared" ref="L53:L82" si="12">L8*B53/100</f>
        <v>0</v>
      </c>
      <c r="M53" s="153">
        <f t="shared" ref="M53:M82" si="13">M8*B53/100</f>
        <v>0</v>
      </c>
      <c r="N53" s="63">
        <f t="shared" ref="N53:N82" si="14">N8*B53/100</f>
        <v>0</v>
      </c>
    </row>
    <row r="54" spans="1:30" x14ac:dyDescent="0.2">
      <c r="A54" s="111" t="str">
        <f t="shared" ref="A54:B69" si="15">IF(A9="","",A9)</f>
        <v/>
      </c>
      <c r="B54" s="189" t="str">
        <f t="shared" si="15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154">
        <f t="shared" si="12"/>
        <v>0</v>
      </c>
      <c r="M54" s="153">
        <f t="shared" si="13"/>
        <v>0</v>
      </c>
      <c r="N54" s="63">
        <f t="shared" si="14"/>
        <v>0</v>
      </c>
    </row>
    <row r="55" spans="1:30" x14ac:dyDescent="0.2">
      <c r="A55" s="111" t="str">
        <f t="shared" si="15"/>
        <v/>
      </c>
      <c r="B55" s="189" t="str">
        <f t="shared" si="15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154">
        <f t="shared" si="12"/>
        <v>0</v>
      </c>
      <c r="M55" s="153">
        <f t="shared" si="13"/>
        <v>0</v>
      </c>
      <c r="N55" s="63">
        <f t="shared" si="14"/>
        <v>0</v>
      </c>
    </row>
    <row r="56" spans="1:30" x14ac:dyDescent="0.2">
      <c r="A56" s="111" t="str">
        <f t="shared" si="15"/>
        <v/>
      </c>
      <c r="B56" s="189" t="str">
        <f t="shared" si="15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154">
        <f t="shared" si="12"/>
        <v>0</v>
      </c>
      <c r="M56" s="153">
        <f t="shared" si="13"/>
        <v>0</v>
      </c>
      <c r="N56" s="63">
        <f t="shared" si="14"/>
        <v>0</v>
      </c>
    </row>
    <row r="57" spans="1:30" x14ac:dyDescent="0.2">
      <c r="A57" s="111" t="str">
        <f t="shared" si="15"/>
        <v/>
      </c>
      <c r="B57" s="189" t="str">
        <f t="shared" si="15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154">
        <f t="shared" si="12"/>
        <v>0</v>
      </c>
      <c r="M57" s="153">
        <f t="shared" si="13"/>
        <v>0</v>
      </c>
      <c r="N57" s="63">
        <f t="shared" si="14"/>
        <v>0</v>
      </c>
      <c r="AA57" s="100"/>
    </row>
    <row r="58" spans="1:30" x14ac:dyDescent="0.2">
      <c r="A58" s="111" t="str">
        <f t="shared" si="15"/>
        <v/>
      </c>
      <c r="B58" s="189" t="str">
        <f t="shared" si="15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154">
        <f t="shared" si="12"/>
        <v>0</v>
      </c>
      <c r="M58" s="153">
        <f t="shared" si="13"/>
        <v>0</v>
      </c>
      <c r="N58" s="63">
        <f t="shared" si="14"/>
        <v>0</v>
      </c>
      <c r="AA58" s="100"/>
    </row>
    <row r="59" spans="1:30" x14ac:dyDescent="0.2">
      <c r="A59" s="111" t="str">
        <f t="shared" si="15"/>
        <v/>
      </c>
      <c r="B59" s="189" t="str">
        <f t="shared" si="15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154">
        <f t="shared" si="12"/>
        <v>0</v>
      </c>
      <c r="M59" s="153">
        <f t="shared" si="13"/>
        <v>0</v>
      </c>
      <c r="N59" s="63">
        <f t="shared" si="14"/>
        <v>0</v>
      </c>
    </row>
    <row r="60" spans="1:30" x14ac:dyDescent="0.2">
      <c r="A60" s="111" t="str">
        <f t="shared" si="15"/>
        <v/>
      </c>
      <c r="B60" s="189" t="str">
        <f t="shared" si="15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154">
        <f t="shared" si="12"/>
        <v>0</v>
      </c>
      <c r="M60" s="153">
        <f t="shared" si="13"/>
        <v>0</v>
      </c>
      <c r="N60" s="63">
        <f t="shared" si="14"/>
        <v>0</v>
      </c>
    </row>
    <row r="61" spans="1:30" x14ac:dyDescent="0.2">
      <c r="A61" s="111" t="str">
        <f t="shared" si="15"/>
        <v/>
      </c>
      <c r="B61" s="189" t="str">
        <f t="shared" si="15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154">
        <f t="shared" si="12"/>
        <v>0</v>
      </c>
      <c r="M61" s="153">
        <f t="shared" si="13"/>
        <v>0</v>
      </c>
      <c r="N61" s="63">
        <f t="shared" si="14"/>
        <v>0</v>
      </c>
    </row>
    <row r="62" spans="1:30" x14ac:dyDescent="0.2">
      <c r="A62" s="111" t="str">
        <f t="shared" si="15"/>
        <v/>
      </c>
      <c r="B62" s="189" t="str">
        <f t="shared" si="15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154">
        <f t="shared" si="12"/>
        <v>0</v>
      </c>
      <c r="M62" s="153">
        <f t="shared" si="13"/>
        <v>0</v>
      </c>
      <c r="N62" s="63">
        <f t="shared" si="14"/>
        <v>0</v>
      </c>
    </row>
    <row r="63" spans="1:30" x14ac:dyDescent="0.2">
      <c r="A63" s="111" t="str">
        <f t="shared" si="15"/>
        <v/>
      </c>
      <c r="B63" s="189" t="str">
        <f t="shared" si="15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154">
        <f t="shared" si="12"/>
        <v>0</v>
      </c>
      <c r="M63" s="153">
        <f t="shared" si="13"/>
        <v>0</v>
      </c>
      <c r="N63" s="63">
        <f t="shared" si="14"/>
        <v>0</v>
      </c>
    </row>
    <row r="64" spans="1:30" x14ac:dyDescent="0.2">
      <c r="A64" s="111" t="str">
        <f t="shared" si="15"/>
        <v/>
      </c>
      <c r="B64" s="189" t="str">
        <f t="shared" si="15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154">
        <f t="shared" si="12"/>
        <v>0</v>
      </c>
      <c r="M64" s="153">
        <f t="shared" si="13"/>
        <v>0</v>
      </c>
      <c r="N64" s="63">
        <f t="shared" si="14"/>
        <v>0</v>
      </c>
      <c r="AA64" s="99" t="s">
        <v>155</v>
      </c>
    </row>
    <row r="65" spans="1:33" x14ac:dyDescent="0.2">
      <c r="A65" s="111" t="str">
        <f t="shared" si="15"/>
        <v/>
      </c>
      <c r="B65" s="189" t="str">
        <f t="shared" si="15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154">
        <f t="shared" si="12"/>
        <v>0</v>
      </c>
      <c r="M65" s="153">
        <f t="shared" si="13"/>
        <v>0</v>
      </c>
      <c r="N65" s="63">
        <f t="shared" si="14"/>
        <v>0</v>
      </c>
      <c r="AA65" s="129" t="s">
        <v>156</v>
      </c>
    </row>
    <row r="66" spans="1:33" ht="18.75" x14ac:dyDescent="0.3">
      <c r="A66" s="111" t="str">
        <f t="shared" si="15"/>
        <v/>
      </c>
      <c r="B66" s="189" t="str">
        <f t="shared" si="15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154">
        <f t="shared" si="12"/>
        <v>0</v>
      </c>
      <c r="M66" s="153">
        <f t="shared" si="13"/>
        <v>0</v>
      </c>
      <c r="N66" s="63">
        <f t="shared" si="14"/>
        <v>0</v>
      </c>
      <c r="AA66" s="100" t="s">
        <v>157</v>
      </c>
      <c r="AC66" s="101"/>
      <c r="AE66" s="101"/>
      <c r="AF66" s="155"/>
      <c r="AG66" s="101"/>
    </row>
    <row r="67" spans="1:33" x14ac:dyDescent="0.2">
      <c r="A67" s="111" t="str">
        <f t="shared" si="15"/>
        <v/>
      </c>
      <c r="B67" s="189" t="str">
        <f t="shared" si="15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154">
        <f t="shared" si="12"/>
        <v>0</v>
      </c>
      <c r="M67" s="153">
        <f t="shared" si="13"/>
        <v>0</v>
      </c>
      <c r="N67" s="63">
        <f t="shared" si="14"/>
        <v>0</v>
      </c>
    </row>
    <row r="68" spans="1:33" x14ac:dyDescent="0.2">
      <c r="A68" s="111" t="str">
        <f t="shared" si="15"/>
        <v/>
      </c>
      <c r="B68" s="189" t="str">
        <f t="shared" si="15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154">
        <f t="shared" si="12"/>
        <v>0</v>
      </c>
      <c r="M68" s="153">
        <f t="shared" si="13"/>
        <v>0</v>
      </c>
      <c r="N68" s="63">
        <f t="shared" si="14"/>
        <v>0</v>
      </c>
    </row>
    <row r="69" spans="1:33" x14ac:dyDescent="0.2">
      <c r="A69" s="111" t="str">
        <f t="shared" si="15"/>
        <v/>
      </c>
      <c r="B69" s="189" t="str">
        <f t="shared" si="15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154">
        <f t="shared" si="12"/>
        <v>0</v>
      </c>
      <c r="M69" s="153">
        <f t="shared" si="13"/>
        <v>0</v>
      </c>
      <c r="N69" s="63">
        <f t="shared" si="14"/>
        <v>0</v>
      </c>
    </row>
    <row r="70" spans="1:33" x14ac:dyDescent="0.2">
      <c r="A70" s="111" t="str">
        <f t="shared" ref="A70:B82" si="16">IF(A25="","",A25)</f>
        <v/>
      </c>
      <c r="B70" s="189" t="str">
        <f t="shared" si="16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154">
        <f t="shared" si="12"/>
        <v>0</v>
      </c>
      <c r="M70" s="153">
        <f t="shared" si="13"/>
        <v>0</v>
      </c>
      <c r="N70" s="63">
        <f t="shared" si="14"/>
        <v>0</v>
      </c>
    </row>
    <row r="71" spans="1:33" x14ac:dyDescent="0.2">
      <c r="A71" s="111" t="str">
        <f t="shared" si="16"/>
        <v/>
      </c>
      <c r="B71" s="189" t="str">
        <f t="shared" si="16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154">
        <f t="shared" si="12"/>
        <v>0</v>
      </c>
      <c r="M71" s="153">
        <f t="shared" si="13"/>
        <v>0</v>
      </c>
      <c r="N71" s="63">
        <f t="shared" si="14"/>
        <v>0</v>
      </c>
    </row>
    <row r="72" spans="1:33" x14ac:dyDescent="0.2">
      <c r="A72" s="111" t="str">
        <f t="shared" si="16"/>
        <v/>
      </c>
      <c r="B72" s="189" t="str">
        <f t="shared" si="16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154">
        <f t="shared" si="12"/>
        <v>0</v>
      </c>
      <c r="M72" s="153">
        <f t="shared" si="13"/>
        <v>0</v>
      </c>
      <c r="N72" s="63">
        <f t="shared" si="14"/>
        <v>0</v>
      </c>
    </row>
    <row r="73" spans="1:33" ht="18.75" x14ac:dyDescent="0.3">
      <c r="A73" s="111" t="str">
        <f t="shared" si="16"/>
        <v/>
      </c>
      <c r="B73" s="189" t="str">
        <f t="shared" si="16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154">
        <f t="shared" si="12"/>
        <v>0</v>
      </c>
      <c r="M73" s="153">
        <f t="shared" si="13"/>
        <v>0</v>
      </c>
      <c r="N73" s="63">
        <f t="shared" si="14"/>
        <v>0</v>
      </c>
      <c r="AA73" s="101" t="s">
        <v>45</v>
      </c>
    </row>
    <row r="74" spans="1:33" x14ac:dyDescent="0.2">
      <c r="A74" s="111" t="str">
        <f t="shared" si="16"/>
        <v/>
      </c>
      <c r="B74" s="189" t="str">
        <f t="shared" si="16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154">
        <f t="shared" si="12"/>
        <v>0</v>
      </c>
      <c r="M74" s="153">
        <f t="shared" si="13"/>
        <v>0</v>
      </c>
      <c r="N74" s="63">
        <f t="shared" si="14"/>
        <v>0</v>
      </c>
      <c r="AA74" s="102" t="s">
        <v>70</v>
      </c>
    </row>
    <row r="75" spans="1:33" x14ac:dyDescent="0.2">
      <c r="A75" s="111" t="str">
        <f t="shared" si="16"/>
        <v/>
      </c>
      <c r="B75" s="189" t="str">
        <f t="shared" si="16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154">
        <f t="shared" si="12"/>
        <v>0</v>
      </c>
      <c r="M75" s="153">
        <f t="shared" si="13"/>
        <v>0</v>
      </c>
      <c r="N75" s="63">
        <f t="shared" si="14"/>
        <v>0</v>
      </c>
      <c r="AA75" s="102" t="s">
        <v>60</v>
      </c>
    </row>
    <row r="76" spans="1:33" x14ac:dyDescent="0.2">
      <c r="A76" s="111" t="str">
        <f t="shared" si="16"/>
        <v/>
      </c>
      <c r="B76" s="189" t="str">
        <f t="shared" si="16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154">
        <f t="shared" si="12"/>
        <v>0</v>
      </c>
      <c r="M76" s="153">
        <f t="shared" si="13"/>
        <v>0</v>
      </c>
      <c r="N76" s="63">
        <f t="shared" si="14"/>
        <v>0</v>
      </c>
      <c r="AA76" s="102" t="s">
        <v>61</v>
      </c>
    </row>
    <row r="77" spans="1:33" x14ac:dyDescent="0.2">
      <c r="A77" s="111" t="str">
        <f t="shared" si="16"/>
        <v/>
      </c>
      <c r="B77" s="189" t="str">
        <f t="shared" si="16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154">
        <f t="shared" si="12"/>
        <v>0</v>
      </c>
      <c r="M77" s="153">
        <f t="shared" si="13"/>
        <v>0</v>
      </c>
      <c r="N77" s="63">
        <f t="shared" si="14"/>
        <v>0</v>
      </c>
      <c r="AA77" s="102" t="s">
        <v>62</v>
      </c>
    </row>
    <row r="78" spans="1:33" x14ac:dyDescent="0.2">
      <c r="A78" s="111" t="str">
        <f t="shared" si="16"/>
        <v/>
      </c>
      <c r="B78" s="189" t="str">
        <f t="shared" si="16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154">
        <f t="shared" si="12"/>
        <v>0</v>
      </c>
      <c r="M78" s="153">
        <f t="shared" si="13"/>
        <v>0</v>
      </c>
      <c r="N78" s="63">
        <f t="shared" si="14"/>
        <v>0</v>
      </c>
      <c r="AA78" s="102" t="s">
        <v>63</v>
      </c>
    </row>
    <row r="79" spans="1:33" x14ac:dyDescent="0.2">
      <c r="A79" s="111" t="str">
        <f t="shared" si="16"/>
        <v/>
      </c>
      <c r="B79" s="189" t="str">
        <f t="shared" si="16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154">
        <f t="shared" si="12"/>
        <v>0</v>
      </c>
      <c r="M79" s="153">
        <f t="shared" si="13"/>
        <v>0</v>
      </c>
      <c r="N79" s="63">
        <f t="shared" si="14"/>
        <v>0</v>
      </c>
      <c r="AA79" s="49"/>
    </row>
    <row r="80" spans="1:33" x14ac:dyDescent="0.2">
      <c r="A80" s="111" t="str">
        <f t="shared" si="16"/>
        <v/>
      </c>
      <c r="B80" s="189" t="str">
        <f t="shared" si="16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154">
        <f t="shared" si="12"/>
        <v>0</v>
      </c>
      <c r="M80" s="153">
        <f t="shared" si="13"/>
        <v>0</v>
      </c>
      <c r="N80" s="63">
        <f t="shared" si="14"/>
        <v>0</v>
      </c>
    </row>
    <row r="81" spans="1:14" x14ac:dyDescent="0.2">
      <c r="A81" s="111" t="str">
        <f t="shared" si="16"/>
        <v/>
      </c>
      <c r="B81" s="189" t="str">
        <f t="shared" si="16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154">
        <f t="shared" si="12"/>
        <v>0</v>
      </c>
      <c r="M81" s="153">
        <f t="shared" si="13"/>
        <v>0</v>
      </c>
      <c r="N81" s="63">
        <f t="shared" si="14"/>
        <v>0</v>
      </c>
    </row>
    <row r="82" spans="1:14" x14ac:dyDescent="0.2">
      <c r="A82" s="111" t="str">
        <f t="shared" si="16"/>
        <v/>
      </c>
      <c r="B82" s="189" t="str">
        <f>IF(B37="","",B37)</f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154">
        <f t="shared" si="12"/>
        <v>0</v>
      </c>
      <c r="M82" s="153">
        <f t="shared" si="13"/>
        <v>0</v>
      </c>
      <c r="N82" s="63">
        <f t="shared" si="14"/>
        <v>0</v>
      </c>
    </row>
    <row r="83" spans="1:14" x14ac:dyDescent="0.2">
      <c r="A83" s="10" t="s">
        <v>34</v>
      </c>
      <c r="B83" s="67">
        <f t="shared" ref="B83:N83" si="17">SUM(B53:B82)</f>
        <v>0</v>
      </c>
      <c r="C83" s="61">
        <f t="shared" si="17"/>
        <v>0</v>
      </c>
      <c r="D83" s="61">
        <f t="shared" si="17"/>
        <v>0</v>
      </c>
      <c r="E83" s="61">
        <f t="shared" si="17"/>
        <v>0</v>
      </c>
      <c r="F83" s="61">
        <f t="shared" si="17"/>
        <v>0</v>
      </c>
      <c r="G83" s="61">
        <f t="shared" si="17"/>
        <v>0</v>
      </c>
      <c r="H83" s="61">
        <f t="shared" si="17"/>
        <v>0</v>
      </c>
      <c r="I83" s="62">
        <f t="shared" si="17"/>
        <v>0</v>
      </c>
      <c r="J83" s="62">
        <f t="shared" si="17"/>
        <v>0</v>
      </c>
      <c r="K83" s="62">
        <f t="shared" si="17"/>
        <v>0</v>
      </c>
      <c r="L83" s="61">
        <f t="shared" si="17"/>
        <v>0</v>
      </c>
      <c r="M83" s="143">
        <f t="shared" si="17"/>
        <v>0</v>
      </c>
      <c r="N83" s="62">
        <f t="shared" si="17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2"/>
      <c r="M84" s="141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18">SUM(D53:D82)</f>
        <v>0</v>
      </c>
      <c r="E85" s="61">
        <f t="shared" si="18"/>
        <v>0</v>
      </c>
      <c r="F85" s="61">
        <f t="shared" si="18"/>
        <v>0</v>
      </c>
      <c r="G85" s="61">
        <f t="shared" si="18"/>
        <v>0</v>
      </c>
      <c r="H85" s="61">
        <f t="shared" si="18"/>
        <v>0</v>
      </c>
      <c r="I85" s="62">
        <f t="shared" si="18"/>
        <v>0</v>
      </c>
      <c r="J85" s="152">
        <f t="shared" si="18"/>
        <v>0</v>
      </c>
      <c r="K85" s="152">
        <f t="shared" si="18"/>
        <v>0</v>
      </c>
      <c r="L85" s="151">
        <f t="shared" si="18"/>
        <v>0</v>
      </c>
      <c r="M85" s="150">
        <f t="shared" si="18"/>
        <v>0</v>
      </c>
      <c r="N85" s="149">
        <f t="shared" si="18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1" t="e">
        <f>(+L85/B85*100)</f>
        <v>#DIV/0!</v>
      </c>
      <c r="M86" s="150" t="e">
        <f>(+M85/B85*100)</f>
        <v>#DIV/0!</v>
      </c>
      <c r="N86" s="149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50"/>
      <c r="D87" s="250"/>
      <c r="E87" s="250"/>
      <c r="F87" s="71" t="e">
        <f>F86+100-B86</f>
        <v>#DIV/0!</v>
      </c>
      <c r="G87" s="250"/>
      <c r="H87" s="250"/>
      <c r="I87" s="250"/>
      <c r="J87" s="253"/>
      <c r="K87" s="253"/>
      <c r="L87" s="252"/>
      <c r="M87" s="148"/>
      <c r="N87" s="224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47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6" t="s">
        <v>154</v>
      </c>
      <c r="M89" s="178" t="str">
        <f>M7</f>
        <v>糖類</v>
      </c>
      <c r="N89" s="177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2">
        <f>L87/100*B90</f>
        <v>0</v>
      </c>
      <c r="M90" s="141">
        <f>M87/100*B90</f>
        <v>0</v>
      </c>
      <c r="N90" s="70">
        <f>N87/100*B90</f>
        <v>0</v>
      </c>
    </row>
    <row r="91" spans="1:14" x14ac:dyDescent="0.2">
      <c r="A91" s="111" t="str">
        <f>IF(A41="","",A41)</f>
        <v/>
      </c>
      <c r="B91" s="189" t="str">
        <f>IF(B41="","",B41)</f>
        <v/>
      </c>
      <c r="C91" s="61">
        <f t="shared" ref="C91:C99" si="19">C41/100*B91</f>
        <v>0</v>
      </c>
      <c r="D91" s="61">
        <f t="shared" ref="D91:D99" si="20">D41/100*B91</f>
        <v>0</v>
      </c>
      <c r="E91" s="61">
        <f t="shared" ref="E91:E99" si="21">E41/100*B91</f>
        <v>0</v>
      </c>
      <c r="F91" s="61">
        <f t="shared" ref="F91:F99" si="22">F41/100*B91</f>
        <v>0</v>
      </c>
      <c r="G91" s="61">
        <f t="shared" ref="G91:G99" si="23">G41/100*B91</f>
        <v>0</v>
      </c>
      <c r="H91" s="61">
        <f t="shared" ref="H91:H99" si="24">H41/100*B91</f>
        <v>0</v>
      </c>
      <c r="I91" s="62">
        <f t="shared" ref="I91:I99" si="25">I41/100*B91</f>
        <v>0</v>
      </c>
      <c r="J91" s="69">
        <f t="shared" ref="J91:J99" si="26">J41/100*B91</f>
        <v>0</v>
      </c>
      <c r="K91" s="69">
        <f t="shared" ref="K91:K99" si="27">K41/100*B91</f>
        <v>0</v>
      </c>
      <c r="L91" s="145">
        <f t="shared" ref="L91:L99" si="28">L41/100*B91</f>
        <v>0</v>
      </c>
      <c r="M91" s="144">
        <f t="shared" ref="M91:M99" si="29">M41/100*B91</f>
        <v>0</v>
      </c>
      <c r="N91" s="69">
        <f t="shared" ref="N91:N99" si="30">N41/100*B91</f>
        <v>0</v>
      </c>
    </row>
    <row r="92" spans="1:14" x14ac:dyDescent="0.2">
      <c r="A92" s="111" t="str">
        <f t="shared" ref="A92:B99" si="31">IF(A42="","",A42)</f>
        <v/>
      </c>
      <c r="B92" s="189" t="str">
        <f t="shared" si="31"/>
        <v/>
      </c>
      <c r="C92" s="61">
        <f t="shared" si="19"/>
        <v>0</v>
      </c>
      <c r="D92" s="61">
        <f t="shared" si="20"/>
        <v>0</v>
      </c>
      <c r="E92" s="61">
        <f t="shared" si="21"/>
        <v>0</v>
      </c>
      <c r="F92" s="61">
        <f t="shared" si="22"/>
        <v>0</v>
      </c>
      <c r="G92" s="61">
        <f t="shared" si="23"/>
        <v>0</v>
      </c>
      <c r="H92" s="61">
        <f t="shared" si="24"/>
        <v>0</v>
      </c>
      <c r="I92" s="62">
        <f t="shared" si="25"/>
        <v>0</v>
      </c>
      <c r="J92" s="69">
        <f t="shared" si="26"/>
        <v>0</v>
      </c>
      <c r="K92" s="69">
        <f t="shared" si="27"/>
        <v>0</v>
      </c>
      <c r="L92" s="145">
        <f t="shared" si="28"/>
        <v>0</v>
      </c>
      <c r="M92" s="144">
        <f t="shared" si="29"/>
        <v>0</v>
      </c>
      <c r="N92" s="69">
        <f t="shared" si="30"/>
        <v>0</v>
      </c>
    </row>
    <row r="93" spans="1:14" x14ac:dyDescent="0.2">
      <c r="A93" s="111" t="str">
        <f t="shared" si="31"/>
        <v/>
      </c>
      <c r="B93" s="189" t="str">
        <f t="shared" si="31"/>
        <v/>
      </c>
      <c r="C93" s="61">
        <f t="shared" si="19"/>
        <v>0</v>
      </c>
      <c r="D93" s="61">
        <f t="shared" si="20"/>
        <v>0</v>
      </c>
      <c r="E93" s="61">
        <f t="shared" si="21"/>
        <v>0</v>
      </c>
      <c r="F93" s="61">
        <f t="shared" si="22"/>
        <v>0</v>
      </c>
      <c r="G93" s="61">
        <f t="shared" si="23"/>
        <v>0</v>
      </c>
      <c r="H93" s="61">
        <f t="shared" si="24"/>
        <v>0</v>
      </c>
      <c r="I93" s="62">
        <f t="shared" si="25"/>
        <v>0</v>
      </c>
      <c r="J93" s="69">
        <f t="shared" si="26"/>
        <v>0</v>
      </c>
      <c r="K93" s="69">
        <f t="shared" si="27"/>
        <v>0</v>
      </c>
      <c r="L93" s="145">
        <f t="shared" si="28"/>
        <v>0</v>
      </c>
      <c r="M93" s="144">
        <f t="shared" si="29"/>
        <v>0</v>
      </c>
      <c r="N93" s="69">
        <f t="shared" si="30"/>
        <v>0</v>
      </c>
    </row>
    <row r="94" spans="1:14" x14ac:dyDescent="0.2">
      <c r="A94" s="111" t="str">
        <f t="shared" si="31"/>
        <v/>
      </c>
      <c r="B94" s="189" t="str">
        <f t="shared" si="31"/>
        <v/>
      </c>
      <c r="C94" s="61">
        <f t="shared" si="19"/>
        <v>0</v>
      </c>
      <c r="D94" s="61">
        <f t="shared" si="20"/>
        <v>0</v>
      </c>
      <c r="E94" s="61">
        <f t="shared" si="21"/>
        <v>0</v>
      </c>
      <c r="F94" s="61">
        <f t="shared" si="22"/>
        <v>0</v>
      </c>
      <c r="G94" s="61">
        <f t="shared" si="23"/>
        <v>0</v>
      </c>
      <c r="H94" s="61">
        <f t="shared" si="24"/>
        <v>0</v>
      </c>
      <c r="I94" s="62">
        <f t="shared" si="25"/>
        <v>0</v>
      </c>
      <c r="J94" s="69">
        <f t="shared" si="26"/>
        <v>0</v>
      </c>
      <c r="K94" s="69">
        <f t="shared" si="27"/>
        <v>0</v>
      </c>
      <c r="L94" s="145">
        <f t="shared" si="28"/>
        <v>0</v>
      </c>
      <c r="M94" s="144">
        <f t="shared" si="29"/>
        <v>0</v>
      </c>
      <c r="N94" s="69">
        <f t="shared" si="30"/>
        <v>0</v>
      </c>
    </row>
    <row r="95" spans="1:14" x14ac:dyDescent="0.2">
      <c r="A95" s="111" t="str">
        <f t="shared" si="31"/>
        <v/>
      </c>
      <c r="B95" s="189" t="str">
        <f t="shared" si="31"/>
        <v/>
      </c>
      <c r="C95" s="61">
        <f t="shared" si="19"/>
        <v>0</v>
      </c>
      <c r="D95" s="61">
        <f t="shared" si="20"/>
        <v>0</v>
      </c>
      <c r="E95" s="61">
        <f t="shared" si="21"/>
        <v>0</v>
      </c>
      <c r="F95" s="61">
        <f t="shared" si="22"/>
        <v>0</v>
      </c>
      <c r="G95" s="61">
        <f t="shared" si="23"/>
        <v>0</v>
      </c>
      <c r="H95" s="61">
        <f t="shared" si="24"/>
        <v>0</v>
      </c>
      <c r="I95" s="62">
        <f t="shared" si="25"/>
        <v>0</v>
      </c>
      <c r="J95" s="69">
        <f t="shared" si="26"/>
        <v>0</v>
      </c>
      <c r="K95" s="69">
        <f t="shared" si="27"/>
        <v>0</v>
      </c>
      <c r="L95" s="145">
        <f t="shared" si="28"/>
        <v>0</v>
      </c>
      <c r="M95" s="144">
        <f t="shared" si="29"/>
        <v>0</v>
      </c>
      <c r="N95" s="69">
        <f t="shared" si="30"/>
        <v>0</v>
      </c>
    </row>
    <row r="96" spans="1:14" x14ac:dyDescent="0.2">
      <c r="A96" s="111" t="str">
        <f t="shared" si="31"/>
        <v/>
      </c>
      <c r="B96" s="189" t="str">
        <f t="shared" si="31"/>
        <v/>
      </c>
      <c r="C96" s="61">
        <f t="shared" si="19"/>
        <v>0</v>
      </c>
      <c r="D96" s="61">
        <f t="shared" si="20"/>
        <v>0</v>
      </c>
      <c r="E96" s="61">
        <f t="shared" si="21"/>
        <v>0</v>
      </c>
      <c r="F96" s="61">
        <f t="shared" si="22"/>
        <v>0</v>
      </c>
      <c r="G96" s="61">
        <f t="shared" si="23"/>
        <v>0</v>
      </c>
      <c r="H96" s="61">
        <f t="shared" si="24"/>
        <v>0</v>
      </c>
      <c r="I96" s="62">
        <f t="shared" si="25"/>
        <v>0</v>
      </c>
      <c r="J96" s="69">
        <f t="shared" si="26"/>
        <v>0</v>
      </c>
      <c r="K96" s="69">
        <f t="shared" si="27"/>
        <v>0</v>
      </c>
      <c r="L96" s="145">
        <f t="shared" si="28"/>
        <v>0</v>
      </c>
      <c r="M96" s="144">
        <f t="shared" si="29"/>
        <v>0</v>
      </c>
      <c r="N96" s="69">
        <f t="shared" si="30"/>
        <v>0</v>
      </c>
    </row>
    <row r="97" spans="1:14" x14ac:dyDescent="0.2">
      <c r="A97" s="111" t="str">
        <f t="shared" si="31"/>
        <v/>
      </c>
      <c r="B97" s="189" t="str">
        <f t="shared" si="31"/>
        <v/>
      </c>
      <c r="C97" s="61">
        <f t="shared" si="19"/>
        <v>0</v>
      </c>
      <c r="D97" s="61">
        <f t="shared" si="20"/>
        <v>0</v>
      </c>
      <c r="E97" s="61">
        <f t="shared" si="21"/>
        <v>0</v>
      </c>
      <c r="F97" s="61">
        <f t="shared" si="22"/>
        <v>0</v>
      </c>
      <c r="G97" s="61">
        <f t="shared" si="23"/>
        <v>0</v>
      </c>
      <c r="H97" s="61">
        <f t="shared" si="24"/>
        <v>0</v>
      </c>
      <c r="I97" s="62">
        <f t="shared" si="25"/>
        <v>0</v>
      </c>
      <c r="J97" s="69">
        <f t="shared" si="26"/>
        <v>0</v>
      </c>
      <c r="K97" s="69">
        <f t="shared" si="27"/>
        <v>0</v>
      </c>
      <c r="L97" s="145">
        <f t="shared" si="28"/>
        <v>0</v>
      </c>
      <c r="M97" s="144">
        <f t="shared" si="29"/>
        <v>0</v>
      </c>
      <c r="N97" s="69">
        <f t="shared" si="30"/>
        <v>0</v>
      </c>
    </row>
    <row r="98" spans="1:14" x14ac:dyDescent="0.2">
      <c r="A98" s="111" t="str">
        <f t="shared" si="31"/>
        <v/>
      </c>
      <c r="B98" s="189" t="str">
        <f t="shared" si="31"/>
        <v/>
      </c>
      <c r="C98" s="61">
        <f t="shared" si="19"/>
        <v>0</v>
      </c>
      <c r="D98" s="61">
        <f t="shared" si="20"/>
        <v>0</v>
      </c>
      <c r="E98" s="61">
        <f t="shared" si="21"/>
        <v>0</v>
      </c>
      <c r="F98" s="61">
        <f t="shared" si="22"/>
        <v>0</v>
      </c>
      <c r="G98" s="61">
        <f t="shared" si="23"/>
        <v>0</v>
      </c>
      <c r="H98" s="61">
        <f t="shared" si="24"/>
        <v>0</v>
      </c>
      <c r="I98" s="62">
        <f t="shared" si="25"/>
        <v>0</v>
      </c>
      <c r="J98" s="69">
        <f t="shared" si="26"/>
        <v>0</v>
      </c>
      <c r="K98" s="69">
        <f t="shared" si="27"/>
        <v>0</v>
      </c>
      <c r="L98" s="145">
        <f t="shared" si="28"/>
        <v>0</v>
      </c>
      <c r="M98" s="144">
        <f t="shared" si="29"/>
        <v>0</v>
      </c>
      <c r="N98" s="69">
        <f t="shared" si="30"/>
        <v>0</v>
      </c>
    </row>
    <row r="99" spans="1:14" x14ac:dyDescent="0.2">
      <c r="A99" s="111" t="str">
        <f t="shared" si="31"/>
        <v/>
      </c>
      <c r="B99" s="189" t="str">
        <f t="shared" si="31"/>
        <v/>
      </c>
      <c r="C99" s="61">
        <f t="shared" si="19"/>
        <v>0</v>
      </c>
      <c r="D99" s="61">
        <f t="shared" si="20"/>
        <v>0</v>
      </c>
      <c r="E99" s="61">
        <f t="shared" si="21"/>
        <v>0</v>
      </c>
      <c r="F99" s="61">
        <f t="shared" si="22"/>
        <v>0</v>
      </c>
      <c r="G99" s="61">
        <f t="shared" si="23"/>
        <v>0</v>
      </c>
      <c r="H99" s="61">
        <f t="shared" si="24"/>
        <v>0</v>
      </c>
      <c r="I99" s="62">
        <f t="shared" si="25"/>
        <v>0</v>
      </c>
      <c r="J99" s="69">
        <f t="shared" si="26"/>
        <v>0</v>
      </c>
      <c r="K99" s="69">
        <f t="shared" si="27"/>
        <v>0</v>
      </c>
      <c r="L99" s="145">
        <f t="shared" si="28"/>
        <v>0</v>
      </c>
      <c r="M99" s="144">
        <f t="shared" si="29"/>
        <v>0</v>
      </c>
      <c r="N99" s="69">
        <f t="shared" si="30"/>
        <v>0</v>
      </c>
    </row>
    <row r="100" spans="1:14" x14ac:dyDescent="0.2">
      <c r="A100" s="10" t="s">
        <v>34</v>
      </c>
      <c r="B100" s="67">
        <f t="shared" ref="B100:N100" si="32">SUM(B90:B99)</f>
        <v>100</v>
      </c>
      <c r="C100" s="61">
        <f t="shared" si="32"/>
        <v>0</v>
      </c>
      <c r="D100" s="61">
        <f t="shared" si="32"/>
        <v>0</v>
      </c>
      <c r="E100" s="61">
        <f t="shared" si="32"/>
        <v>0</v>
      </c>
      <c r="F100" s="61" t="e">
        <f t="shared" si="32"/>
        <v>#DIV/0!</v>
      </c>
      <c r="G100" s="61">
        <f t="shared" si="32"/>
        <v>0</v>
      </c>
      <c r="H100" s="61">
        <f t="shared" si="32"/>
        <v>0</v>
      </c>
      <c r="I100" s="62">
        <f t="shared" si="32"/>
        <v>0</v>
      </c>
      <c r="J100" s="62">
        <f t="shared" si="32"/>
        <v>0</v>
      </c>
      <c r="K100" s="62">
        <f t="shared" si="32"/>
        <v>0</v>
      </c>
      <c r="L100" s="61">
        <f t="shared" si="32"/>
        <v>0</v>
      </c>
      <c r="M100" s="143">
        <f t="shared" si="32"/>
        <v>0</v>
      </c>
      <c r="N100" s="62">
        <f t="shared" si="32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2"/>
      <c r="M101" s="141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33">SUM(D90:D99)</f>
        <v>0</v>
      </c>
      <c r="E102" s="61">
        <f t="shared" si="33"/>
        <v>0</v>
      </c>
      <c r="F102" s="61" t="e">
        <f t="shared" si="33"/>
        <v>#DIV/0!</v>
      </c>
      <c r="G102" s="61">
        <f t="shared" si="33"/>
        <v>0</v>
      </c>
      <c r="H102" s="61">
        <f t="shared" si="33"/>
        <v>0</v>
      </c>
      <c r="I102" s="62">
        <f t="shared" si="33"/>
        <v>0</v>
      </c>
      <c r="J102" s="73">
        <f t="shared" si="33"/>
        <v>0</v>
      </c>
      <c r="K102" s="73">
        <f t="shared" si="33"/>
        <v>0</v>
      </c>
      <c r="L102" s="140">
        <f t="shared" si="33"/>
        <v>0</v>
      </c>
      <c r="M102" s="139">
        <f t="shared" si="33"/>
        <v>0</v>
      </c>
      <c r="N102" s="138">
        <f t="shared" si="33"/>
        <v>0</v>
      </c>
    </row>
    <row r="103" spans="1:14" ht="18" thickBot="1" x14ac:dyDescent="0.25">
      <c r="A103" s="74" t="s">
        <v>37</v>
      </c>
      <c r="B103" s="75" t="e">
        <f>SUM(C103:H103)</f>
        <v>#DIV/0!</v>
      </c>
      <c r="C103" s="75">
        <f>ROUND(+C102/B102*100,1)</f>
        <v>0</v>
      </c>
      <c r="D103" s="75">
        <f>ROUND(+D102/B102*100,1)</f>
        <v>0</v>
      </c>
      <c r="E103" s="75">
        <f>ROUND(+E102/B102*100,1)</f>
        <v>0</v>
      </c>
      <c r="F103" s="75" t="e">
        <f>ROUND(+F102/B102*100,1)</f>
        <v>#DIV/0!</v>
      </c>
      <c r="G103" s="75">
        <f>ROUND(+G102/B102*100,1)</f>
        <v>0</v>
      </c>
      <c r="H103" s="75">
        <f>ROUND(+H102/B102*100,1)</f>
        <v>0</v>
      </c>
      <c r="I103" s="137">
        <f>ROUND(+I102/B102*100,0)</f>
        <v>0</v>
      </c>
      <c r="J103" s="104">
        <f>ROUND(+J102/B102*100,2)</f>
        <v>0</v>
      </c>
      <c r="K103" s="104">
        <f>ROUND(+K102/B102*100,2)</f>
        <v>0</v>
      </c>
      <c r="L103" s="136">
        <f>ROUND(+L102/B102*100,0)</f>
        <v>0</v>
      </c>
      <c r="M103" s="135">
        <f>ROUND(+M102/B102*100,0)</f>
        <v>0</v>
      </c>
      <c r="N103" s="134">
        <f>ROUND(+N102/B102*100,1)</f>
        <v>0</v>
      </c>
    </row>
    <row r="104" spans="1:14" ht="18.75" thickTop="1" thickBot="1" x14ac:dyDescent="0.25">
      <c r="A104" s="76" t="s">
        <v>38</v>
      </c>
      <c r="B104" s="77" t="e">
        <f>SUM(C104:H104)</f>
        <v>#DIV/0!</v>
      </c>
      <c r="C104" s="251"/>
      <c r="D104" s="251"/>
      <c r="E104" s="251"/>
      <c r="F104" s="133" t="e">
        <f>F103+100-B103</f>
        <v>#DIV/0!</v>
      </c>
      <c r="G104" s="251"/>
      <c r="H104" s="251"/>
      <c r="I104" s="270"/>
      <c r="J104" s="271"/>
      <c r="K104" s="272"/>
      <c r="L104" s="270"/>
      <c r="M104" s="220"/>
      <c r="N104" s="132"/>
    </row>
    <row r="105" spans="1:14" ht="18.75" thickTop="1" thickBot="1" x14ac:dyDescent="0.25">
      <c r="A105" s="78"/>
      <c r="B105" s="79"/>
      <c r="C105" s="131"/>
      <c r="D105" s="80"/>
      <c r="E105" s="80"/>
      <c r="F105" s="81" t="s">
        <v>20</v>
      </c>
      <c r="G105" s="82"/>
      <c r="H105" s="80"/>
      <c r="I105" s="80"/>
      <c r="J105" s="80"/>
      <c r="K105" s="80"/>
      <c r="L105" s="9"/>
      <c r="M105" s="221" t="s">
        <v>107</v>
      </c>
      <c r="N105" s="9"/>
    </row>
    <row r="106" spans="1:14" ht="18.75" thickTop="1" thickBot="1" x14ac:dyDescent="0.25">
      <c r="A106" s="194" t="s">
        <v>112</v>
      </c>
      <c r="B106" s="195">
        <v>73</v>
      </c>
      <c r="C106" s="196" t="str">
        <f>IF(COUNTIF(A6,"*ｾﾌﾞﾝﾌﾟﾚﾐｱﾑ*")+COUNTIF(A6,"*7P*"),"7P 複数個入り注意!!","")</f>
        <v/>
      </c>
      <c r="D106" s="80"/>
      <c r="E106" s="80"/>
      <c r="F106" s="83" t="e">
        <f>SUM(F104:G104)</f>
        <v>#DIV/0!</v>
      </c>
      <c r="G106" s="80"/>
      <c r="H106" s="254" t="s">
        <v>164</v>
      </c>
      <c r="I106" s="255">
        <v>115</v>
      </c>
      <c r="J106" s="80"/>
      <c r="K106" s="80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4"/>
      <c r="F107" s="85"/>
      <c r="G107" s="2"/>
      <c r="H107" s="256" t="s">
        <v>165</v>
      </c>
      <c r="I107" s="257">
        <v>103</v>
      </c>
      <c r="J107" s="2"/>
      <c r="K107" s="2"/>
      <c r="L107" s="3"/>
      <c r="M107" s="3"/>
      <c r="N107" s="3"/>
    </row>
    <row r="108" spans="1:14" ht="18.75" thickBot="1" x14ac:dyDescent="0.25">
      <c r="A108" s="86" t="s">
        <v>40</v>
      </c>
      <c r="B108" s="87"/>
      <c r="C108" s="88" t="e">
        <f>ROUND(+D104*4+E104*9+F104*4+G104*2,0)</f>
        <v>#DIV/0!</v>
      </c>
      <c r="D108" s="86" t="s">
        <v>41</v>
      </c>
      <c r="E108" s="89"/>
      <c r="F108" s="84"/>
      <c r="G108" s="2"/>
      <c r="H108" s="258" t="s">
        <v>166</v>
      </c>
      <c r="I108" s="259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0"/>
      <c r="C109" s="90"/>
      <c r="D109" s="90"/>
      <c r="G109" s="90"/>
      <c r="H109" s="90"/>
      <c r="I109" s="90"/>
      <c r="J109" s="90"/>
      <c r="K109" s="90"/>
      <c r="L109" s="3"/>
      <c r="M109" s="3"/>
      <c r="N109" s="3"/>
    </row>
    <row r="110" spans="1:14" x14ac:dyDescent="0.2">
      <c r="A110" s="2"/>
      <c r="B110" s="90"/>
      <c r="C110" s="90"/>
      <c r="D110" s="90"/>
      <c r="E110" s="90"/>
      <c r="F110" s="90"/>
      <c r="G110" s="90"/>
      <c r="H110" s="90"/>
      <c r="I110" s="90"/>
      <c r="J110" s="90"/>
      <c r="K110" s="90"/>
      <c r="L110" s="3"/>
      <c r="M110" s="3"/>
      <c r="N110" s="3"/>
    </row>
    <row r="111" spans="1:14" x14ac:dyDescent="0.2">
      <c r="A111" s="2"/>
      <c r="B111" s="90"/>
      <c r="C111" s="114" t="s">
        <v>47</v>
      </c>
      <c r="D111" s="90"/>
      <c r="E111" s="90"/>
      <c r="F111" s="90"/>
      <c r="G111" s="90"/>
      <c r="H111" s="90"/>
      <c r="I111" s="90"/>
      <c r="J111" s="90"/>
      <c r="K111" s="90"/>
      <c r="L111" s="3"/>
      <c r="M111" s="3"/>
      <c r="N111" s="3"/>
    </row>
    <row r="112" spans="1:14" x14ac:dyDescent="0.2">
      <c r="A112" s="2"/>
      <c r="B112" s="90"/>
      <c r="C112" s="115" t="s">
        <v>158</v>
      </c>
      <c r="D112" s="115" t="s">
        <v>17</v>
      </c>
      <c r="E112" s="115" t="s">
        <v>18</v>
      </c>
      <c r="F112" s="115" t="s">
        <v>20</v>
      </c>
      <c r="G112" s="115" t="s">
        <v>21</v>
      </c>
      <c r="H112" s="115" t="s">
        <v>12</v>
      </c>
      <c r="I112" s="115" t="s">
        <v>49</v>
      </c>
      <c r="J112" s="115" t="s">
        <v>50</v>
      </c>
      <c r="K112" s="115" t="s">
        <v>73</v>
      </c>
      <c r="L112" s="3"/>
      <c r="M112" s="3"/>
      <c r="N112" s="3"/>
    </row>
    <row r="113" spans="1:14" x14ac:dyDescent="0.2">
      <c r="A113" s="2"/>
      <c r="B113" s="90"/>
      <c r="C113" s="116" t="e">
        <f>AG14</f>
        <v>#DIV/0!</v>
      </c>
      <c r="D113" s="117">
        <f>AG15</f>
        <v>0</v>
      </c>
      <c r="E113" s="117">
        <f>AG16</f>
        <v>0</v>
      </c>
      <c r="F113" s="118" t="e">
        <f>AG18</f>
        <v>#DIV/0!</v>
      </c>
      <c r="G113" s="117">
        <f>AG22</f>
        <v>0</v>
      </c>
      <c r="H113" s="120">
        <f>AG17</f>
        <v>0</v>
      </c>
      <c r="I113" s="119">
        <f>IF(AG13&gt;=100,AG28,IF(AE28&lt;0.3,0,AG28))</f>
        <v>0</v>
      </c>
      <c r="J113" s="121">
        <f>IF(AE29&lt;5,0,AG29)</f>
        <v>0</v>
      </c>
      <c r="K113" s="200" t="e">
        <f>AA19&amp;":"&amp;TEXT(AG19,"G/標準")&amp;AH19&amp;CHAR(10)&amp;AA20&amp;":"&amp;TEXT(AG20,"g/標準")&amp;AH20&amp;CHAR(10)&amp;AA21&amp;":"&amp;TEXT(AG21,"g/標準")&amp;AH21&amp;CHAR(10)</f>
        <v>#VALUE!</v>
      </c>
      <c r="L113" s="3"/>
      <c r="M113" s="3"/>
      <c r="N113" s="3"/>
    </row>
    <row r="114" spans="1:14" x14ac:dyDescent="0.2">
      <c r="A114" s="2"/>
      <c r="B114" s="90"/>
      <c r="C114" s="122" t="s">
        <v>51</v>
      </c>
      <c r="D114" s="123" t="s">
        <v>52</v>
      </c>
      <c r="E114" s="123" t="s">
        <v>52</v>
      </c>
      <c r="F114" s="124" t="s">
        <v>52</v>
      </c>
      <c r="G114" s="123" t="s">
        <v>52</v>
      </c>
      <c r="H114" s="124" t="s">
        <v>52</v>
      </c>
      <c r="I114" s="123" t="s">
        <v>52</v>
      </c>
      <c r="J114" s="125" t="s">
        <v>53</v>
      </c>
      <c r="K114" s="201"/>
      <c r="L114" s="3"/>
      <c r="M114" s="3"/>
      <c r="N114" s="3"/>
    </row>
    <row r="115" spans="1:14" x14ac:dyDescent="0.2">
      <c r="A115" s="2"/>
      <c r="B115" s="90"/>
      <c r="C115" s="90"/>
      <c r="D115" s="90"/>
      <c r="E115" s="90"/>
      <c r="F115" s="90"/>
      <c r="G115" s="90" t="s">
        <v>162</v>
      </c>
      <c r="H115" s="90"/>
      <c r="I115" s="90"/>
      <c r="J115" s="90"/>
      <c r="K115" s="90"/>
      <c r="L115" s="3"/>
      <c r="M115" s="3"/>
      <c r="N115" s="3"/>
    </row>
    <row r="117" spans="1:14" x14ac:dyDescent="0.2">
      <c r="A117" s="102"/>
    </row>
    <row r="118" spans="1:14" x14ac:dyDescent="0.2">
      <c r="A118" s="102"/>
    </row>
    <row r="119" spans="1:14" x14ac:dyDescent="0.2">
      <c r="A119" s="126"/>
    </row>
    <row r="120" spans="1:14" x14ac:dyDescent="0.2">
      <c r="A120" s="102"/>
    </row>
  </sheetData>
  <mergeCells count="11">
    <mergeCell ref="A5:E5"/>
    <mergeCell ref="A6:E6"/>
    <mergeCell ref="AB7:AI7"/>
    <mergeCell ref="AE12:AE13"/>
    <mergeCell ref="AG12:AI12"/>
    <mergeCell ref="AR12:AT13"/>
    <mergeCell ref="AU12:AV13"/>
    <mergeCell ref="AY12:AZ13"/>
    <mergeCell ref="AA31:AJ31"/>
    <mergeCell ref="AA32:AJ32"/>
    <mergeCell ref="AK12:AK13"/>
  </mergeCells>
  <phoneticPr fontId="3"/>
  <conditionalFormatting sqref="AJ1:AJ1048576 AC1:AI6 AA1:AB26 AC8:AI26 AA28:AI1048576 AA27 AE27:AI27">
    <cfRule type="expression" dxfId="13" priority="7" stopIfTrue="1">
      <formula>$A$2="出力なし"</formula>
    </cfRule>
  </conditionalFormatting>
  <conditionalFormatting sqref="AG12:AI12">
    <cfRule type="expression" dxfId="12" priority="6" stopIfTrue="1">
      <formula>NOT(AG12="1個当たり")</formula>
    </cfRule>
  </conditionalFormatting>
  <conditionalFormatting sqref="AA31:AJ32">
    <cfRule type="expression" dxfId="11" priority="5" stopIfTrue="1">
      <formula>NOT(AA31="この表示値は、目安です。")</formula>
    </cfRule>
  </conditionalFormatting>
  <conditionalFormatting sqref="AG28">
    <cfRule type="expression" dxfId="10" priority="4" stopIfTrue="1">
      <formula>IF(AND(COUNTIF($A$6,"&lt;&gt;*様*"),$AG$13&lt;100,$AE$28&lt;0.3),TRUE,FALSE)</formula>
    </cfRule>
  </conditionalFormatting>
  <conditionalFormatting sqref="AE25">
    <cfRule type="expression" dxfId="9" priority="3" stopIfTrue="1">
      <formula>IF($A$4="蒸し物",IF($AE$25&lt;30,TRUE,FALSE),FALSE)</formula>
    </cfRule>
  </conditionalFormatting>
  <conditionalFormatting sqref="Z17">
    <cfRule type="expression" dxfId="8" priority="2" stopIfTrue="1">
      <formula>COUNTIF($Z$17,"*1")</formula>
    </cfRule>
  </conditionalFormatting>
  <conditionalFormatting sqref="Z27">
    <cfRule type="expression" dxfId="7" priority="1" stopIfTrue="1">
      <formula>COUNTIF($Z$27,"*2")</formula>
    </cfRule>
  </conditionalFormatting>
  <dataValidations count="3">
    <dataValidation type="list" allowBlank="1" showInputMessage="1" showErrorMessage="1" sqref="AA32:AJ32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mdClear104">
          <controlPr defaultSize="0" autoLine="0" r:id="rId5">
            <anchor moveWithCells="1" sizeWithCells="1">
              <from>
                <xdr:col>25</xdr:col>
                <xdr:colOff>180975</xdr:colOff>
                <xdr:row>103</xdr:row>
                <xdr:rowOff>9525</xdr:rowOff>
              </from>
              <to>
                <xdr:col>26</xdr:col>
                <xdr:colOff>428625</xdr:colOff>
                <xdr:row>104</xdr:row>
                <xdr:rowOff>66675</xdr:rowOff>
              </to>
            </anchor>
          </controlPr>
        </control>
      </mc:Choice>
      <mc:Fallback>
        <control shapeId="2052" r:id="rId4" name="cmdClear104"/>
      </mc:Fallback>
    </mc:AlternateContent>
    <mc:AlternateContent xmlns:mc="http://schemas.openxmlformats.org/markup-compatibility/2006">
      <mc:Choice Requires="x14">
        <control shapeId="2051" r:id="rId6" name="cmdClear87">
          <controlPr defaultSize="0" autoLine="0" r:id="rId7">
            <anchor moveWithCells="1" sizeWithCells="1">
              <from>
                <xdr:col>25</xdr:col>
                <xdr:colOff>142875</xdr:colOff>
                <xdr:row>85</xdr:row>
                <xdr:rowOff>171450</xdr:rowOff>
              </from>
              <to>
                <xdr:col>26</xdr:col>
                <xdr:colOff>438150</xdr:colOff>
                <xdr:row>87</xdr:row>
                <xdr:rowOff>47625</xdr:rowOff>
              </to>
            </anchor>
          </controlPr>
        </control>
      </mc:Choice>
      <mc:Fallback>
        <control shapeId="2051" r:id="rId6" name="cmdClear87"/>
      </mc:Fallback>
    </mc:AlternateContent>
    <mc:AlternateContent xmlns:mc="http://schemas.openxmlformats.org/markup-compatibility/2006">
      <mc:Choice Requires="x14">
        <control shapeId="2050" r:id="rId8" name="cmdCopy104">
          <controlPr defaultSize="0" autoLine="0" r:id="rId9">
            <anchor moveWithCells="1" sizeWithCells="1">
              <from>
                <xdr:col>16</xdr:col>
                <xdr:colOff>0</xdr:colOff>
                <xdr:row>102</xdr:row>
                <xdr:rowOff>219075</xdr:rowOff>
              </from>
              <to>
                <xdr:col>22</xdr:col>
                <xdr:colOff>38100</xdr:colOff>
                <xdr:row>104</xdr:row>
                <xdr:rowOff>47625</xdr:rowOff>
              </to>
            </anchor>
          </controlPr>
        </control>
      </mc:Choice>
      <mc:Fallback>
        <control shapeId="2050" r:id="rId8" name="cmdCopy104"/>
      </mc:Fallback>
    </mc:AlternateContent>
    <mc:AlternateContent xmlns:mc="http://schemas.openxmlformats.org/markup-compatibility/2006">
      <mc:Choice Requires="x14">
        <control shapeId="2049" r:id="rId10" name="cmdCopy87">
          <controlPr defaultSize="0" autoLine="0" r:id="rId11">
            <anchor moveWithCells="1" sizeWithCells="1">
              <from>
                <xdr:col>16</xdr:col>
                <xdr:colOff>28575</xdr:colOff>
                <xdr:row>85</xdr:row>
                <xdr:rowOff>190500</xdr:rowOff>
              </from>
              <to>
                <xdr:col>22</xdr:col>
                <xdr:colOff>66675</xdr:colOff>
                <xdr:row>87</xdr:row>
                <xdr:rowOff>66675</xdr:rowOff>
              </to>
            </anchor>
          </controlPr>
        </control>
      </mc:Choice>
      <mc:Fallback>
        <control shapeId="2049" r:id="rId10" name="cmdCopy8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28" transitionEvaluation="1" codeName="Sheet31">
    <tabColor rgb="FFFFFF00"/>
  </sheetPr>
  <dimension ref="A1:AK124"/>
  <sheetViews>
    <sheetView showGridLines="0" topLeftCell="A28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1" customWidth="1"/>
    <col min="13" max="13" width="10.625" style="4"/>
    <col min="14" max="14" width="4" style="4" customWidth="1"/>
    <col min="15" max="26" width="1.12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hidden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37" x14ac:dyDescent="0.2">
      <c r="A2" s="127" t="s">
        <v>57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71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0" t="s">
        <v>73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248" t="s">
        <v>1</v>
      </c>
      <c r="B5" s="248"/>
      <c r="C5" s="248"/>
      <c r="D5" s="248"/>
      <c r="E5" s="248"/>
      <c r="F5" s="166" t="s">
        <v>80</v>
      </c>
      <c r="G5" s="166" t="s">
        <v>81</v>
      </c>
      <c r="H5" s="166" t="s">
        <v>82</v>
      </c>
      <c r="I5" s="6" t="s">
        <v>105</v>
      </c>
      <c r="J5" s="2"/>
      <c r="K5" s="2" t="s">
        <v>83</v>
      </c>
      <c r="L5" s="3"/>
      <c r="AA5" s="5"/>
      <c r="AB5" s="5"/>
      <c r="AC5" s="5"/>
      <c r="AD5" s="5"/>
      <c r="AE5" s="5"/>
      <c r="AF5" s="5"/>
      <c r="AG5" s="5"/>
      <c r="AH5" s="5"/>
      <c r="AI5" s="96" t="str">
        <f>$I$5</f>
        <v>2020年10月21日</v>
      </c>
      <c r="AJ5" s="5"/>
    </row>
    <row r="6" spans="1:37" ht="21" x14ac:dyDescent="0.2">
      <c r="A6" s="242" t="s">
        <v>100</v>
      </c>
      <c r="B6" s="242"/>
      <c r="C6" s="242"/>
      <c r="D6" s="242"/>
      <c r="E6" s="242"/>
      <c r="F6" s="167" t="s">
        <v>101</v>
      </c>
      <c r="G6" s="168" t="s">
        <v>102</v>
      </c>
      <c r="H6" s="169" t="s">
        <v>103</v>
      </c>
      <c r="I6" s="7"/>
      <c r="J6" s="8"/>
      <c r="K6" s="8" t="s">
        <v>84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0" t="s">
        <v>2</v>
      </c>
      <c r="B7" s="171" t="s">
        <v>3</v>
      </c>
      <c r="C7" s="171" t="s">
        <v>4</v>
      </c>
      <c r="D7" s="171" t="s">
        <v>5</v>
      </c>
      <c r="E7" s="171" t="s">
        <v>6</v>
      </c>
      <c r="F7" s="171" t="s">
        <v>7</v>
      </c>
      <c r="G7" s="171" t="s">
        <v>8</v>
      </c>
      <c r="H7" s="171" t="s">
        <v>104</v>
      </c>
      <c r="I7" s="172" t="s">
        <v>10</v>
      </c>
      <c r="J7" s="173" t="s">
        <v>11</v>
      </c>
      <c r="K7" s="174" t="s">
        <v>12</v>
      </c>
      <c r="L7" s="175" t="s">
        <v>13</v>
      </c>
      <c r="AA7" s="17" t="s">
        <v>14</v>
      </c>
      <c r="AB7" s="18" t="str">
        <f>IF(COUNTIF(F6,"1"),CONCATENATE(A6,"(",H6,")"),CONCATENATE(A6,F6,G6,"入","(",H6,")"))</f>
        <v>2012ふわりｼﾌｫﾝいちご(熊本)</v>
      </c>
      <c r="AC7" s="19"/>
      <c r="AD7" s="19"/>
      <c r="AE7" s="19"/>
      <c r="AF7" s="19"/>
      <c r="AG7" s="19"/>
      <c r="AH7" s="19"/>
      <c r="AI7" s="19"/>
      <c r="AJ7" s="5"/>
    </row>
    <row r="8" spans="1:37" x14ac:dyDescent="0.2">
      <c r="A8" s="111" t="s">
        <v>85</v>
      </c>
      <c r="B8" s="112">
        <v>100</v>
      </c>
      <c r="C8" s="113">
        <v>14.5</v>
      </c>
      <c r="D8" s="113">
        <v>7.8</v>
      </c>
      <c r="E8" s="113">
        <v>1.5</v>
      </c>
      <c r="F8" s="113">
        <v>73.319999999999993</v>
      </c>
      <c r="G8" s="113">
        <v>2.5</v>
      </c>
      <c r="H8" s="113">
        <v>0.38</v>
      </c>
      <c r="I8" s="113">
        <v>0</v>
      </c>
      <c r="J8" s="113">
        <v>0</v>
      </c>
      <c r="K8" s="113">
        <v>0.34</v>
      </c>
      <c r="L8" s="113">
        <v>0</v>
      </c>
      <c r="M8" s="4">
        <f>SUM(C8:H8)</f>
        <v>99.999999999999986</v>
      </c>
      <c r="AB8" s="5" t="s">
        <v>75</v>
      </c>
      <c r="AJ8" s="5"/>
    </row>
    <row r="9" spans="1:37" x14ac:dyDescent="0.2">
      <c r="A9" s="111" t="s">
        <v>86</v>
      </c>
      <c r="B9" s="112">
        <v>100</v>
      </c>
      <c r="C9" s="113">
        <v>0.8</v>
      </c>
      <c r="D9" s="113"/>
      <c r="E9" s="113"/>
      <c r="F9" s="113">
        <v>99.2</v>
      </c>
      <c r="G9" s="113"/>
      <c r="H9" s="113"/>
      <c r="I9" s="113">
        <v>1</v>
      </c>
      <c r="J9" s="113"/>
      <c r="K9" s="113"/>
      <c r="L9" s="113"/>
      <c r="M9" s="4">
        <f>SUM(C9:H9)</f>
        <v>100</v>
      </c>
      <c r="AA9" s="5"/>
      <c r="AB9" s="5" t="s">
        <v>76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1" t="s">
        <v>87</v>
      </c>
      <c r="B10" s="112">
        <v>180</v>
      </c>
      <c r="C10" s="113">
        <v>76.099999999999994</v>
      </c>
      <c r="D10" s="113">
        <v>12.3</v>
      </c>
      <c r="E10" s="113">
        <v>10.3</v>
      </c>
      <c r="F10" s="113">
        <v>0.3</v>
      </c>
      <c r="G10" s="113"/>
      <c r="H10" s="113">
        <v>1</v>
      </c>
      <c r="I10" s="113">
        <v>140</v>
      </c>
      <c r="J10" s="113"/>
      <c r="K10" s="113">
        <v>2.84</v>
      </c>
      <c r="L10" s="113">
        <v>420</v>
      </c>
      <c r="M10" s="4">
        <f t="shared" ref="M10:M22" si="0">SUM(C10:H10)</f>
        <v>99.999999999999986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1" t="s">
        <v>88</v>
      </c>
      <c r="B11" s="112">
        <v>20</v>
      </c>
      <c r="C11" s="113">
        <v>0</v>
      </c>
      <c r="D11" s="113">
        <v>0</v>
      </c>
      <c r="E11" s="113">
        <v>100</v>
      </c>
      <c r="F11" s="113">
        <v>0</v>
      </c>
      <c r="G11" s="113"/>
      <c r="H11" s="113">
        <v>0</v>
      </c>
      <c r="I11" s="113">
        <v>0</v>
      </c>
      <c r="J11" s="113">
        <v>1.2</v>
      </c>
      <c r="K11" s="113">
        <v>13.29</v>
      </c>
      <c r="L11" s="113">
        <v>1</v>
      </c>
      <c r="M11" s="4">
        <f t="shared" si="0"/>
        <v>100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1" t="s">
        <v>89</v>
      </c>
      <c r="B12" s="112">
        <v>2</v>
      </c>
      <c r="C12" s="113">
        <v>4.0999999999999996</v>
      </c>
      <c r="D12" s="113">
        <v>0</v>
      </c>
      <c r="E12" s="113">
        <v>0.4</v>
      </c>
      <c r="F12" s="113">
        <v>27.6</v>
      </c>
      <c r="G12" s="113">
        <v>0</v>
      </c>
      <c r="H12" s="113">
        <v>67.900000000000006</v>
      </c>
      <c r="I12" s="113">
        <v>18872</v>
      </c>
      <c r="J12" s="113">
        <v>0.3</v>
      </c>
      <c r="K12" s="113">
        <v>0.17</v>
      </c>
      <c r="L12" s="113">
        <v>5</v>
      </c>
      <c r="M12" s="4">
        <f t="shared" si="0"/>
        <v>100</v>
      </c>
      <c r="AA12" s="17" t="s">
        <v>15</v>
      </c>
      <c r="AB12" s="5"/>
      <c r="AC12" s="5"/>
      <c r="AD12" s="20"/>
      <c r="AE12" s="244" t="s">
        <v>64</v>
      </c>
      <c r="AG12" s="249" t="str">
        <f>"1"&amp;G6&amp;"当たり"</f>
        <v>1個当たり</v>
      </c>
      <c r="AH12" s="249"/>
      <c r="AI12" s="249"/>
      <c r="AJ12" s="21"/>
      <c r="AK12" s="240" t="s">
        <v>46</v>
      </c>
    </row>
    <row r="13" spans="1:37" ht="24.75" x14ac:dyDescent="0.25">
      <c r="A13" s="111" t="s">
        <v>90</v>
      </c>
      <c r="B13" s="112">
        <v>4.5</v>
      </c>
      <c r="C13" s="113">
        <v>0.3</v>
      </c>
      <c r="D13" s="113">
        <v>0</v>
      </c>
      <c r="E13" s="113">
        <v>0.1</v>
      </c>
      <c r="F13" s="113">
        <v>44.9</v>
      </c>
      <c r="G13" s="113">
        <v>0</v>
      </c>
      <c r="H13" s="113">
        <v>54.7</v>
      </c>
      <c r="I13" s="113">
        <v>12578</v>
      </c>
      <c r="J13" s="113">
        <v>0</v>
      </c>
      <c r="K13" s="113">
        <v>0.02</v>
      </c>
      <c r="L13" s="113">
        <v>0</v>
      </c>
      <c r="M13" s="4">
        <f t="shared" si="0"/>
        <v>100</v>
      </c>
      <c r="AA13" s="5"/>
      <c r="AB13" s="5"/>
      <c r="AC13" s="5"/>
      <c r="AD13" s="22"/>
      <c r="AE13" s="245"/>
      <c r="AF13" s="20"/>
      <c r="AG13" s="23">
        <f>ROUND(+B102,0)</f>
        <v>65</v>
      </c>
      <c r="AH13" s="24" t="s">
        <v>16</v>
      </c>
      <c r="AI13" s="23"/>
      <c r="AJ13" s="25"/>
      <c r="AK13" s="240"/>
    </row>
    <row r="14" spans="1:37" s="26" customFormat="1" ht="22.5" x14ac:dyDescent="0.25">
      <c r="A14" s="111" t="s">
        <v>91</v>
      </c>
      <c r="B14" s="112">
        <v>35</v>
      </c>
      <c r="C14" s="113">
        <v>32.200000000000003</v>
      </c>
      <c r="D14" s="113">
        <v>0</v>
      </c>
      <c r="E14" s="113">
        <v>34</v>
      </c>
      <c r="F14" s="113">
        <v>33.6</v>
      </c>
      <c r="G14" s="113">
        <v>0</v>
      </c>
      <c r="H14" s="113">
        <v>0.2</v>
      </c>
      <c r="I14" s="113">
        <v>4</v>
      </c>
      <c r="J14" s="113">
        <v>0.3</v>
      </c>
      <c r="K14" s="113">
        <v>9.8000000000000007</v>
      </c>
      <c r="L14" s="113">
        <v>0</v>
      </c>
      <c r="M14" s="4">
        <f t="shared" si="0"/>
        <v>100.00000000000001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>
        <f>$C$108</f>
        <v>378</v>
      </c>
      <c r="AF14" s="31"/>
      <c r="AG14" s="30">
        <f>ROUND((AG15+AG18)*4+(AG16*9)+(AG19*2),0)</f>
        <v>246</v>
      </c>
      <c r="AH14" s="29" t="s">
        <v>51</v>
      </c>
      <c r="AI14" s="32"/>
      <c r="AJ14" s="28"/>
      <c r="AK14" s="110">
        <v>0</v>
      </c>
    </row>
    <row r="15" spans="1:37" ht="22.5" x14ac:dyDescent="0.25">
      <c r="A15" s="111" t="s">
        <v>92</v>
      </c>
      <c r="B15" s="112">
        <v>20</v>
      </c>
      <c r="C15" s="113">
        <v>0.1</v>
      </c>
      <c r="D15" s="113">
        <v>0</v>
      </c>
      <c r="E15" s="113">
        <v>99.8</v>
      </c>
      <c r="F15" s="113">
        <v>0</v>
      </c>
      <c r="G15" s="113">
        <v>0</v>
      </c>
      <c r="H15" s="113">
        <v>0.1</v>
      </c>
      <c r="I15" s="113">
        <v>0</v>
      </c>
      <c r="J15" s="113">
        <v>1.1000000000000001</v>
      </c>
      <c r="K15" s="113">
        <v>13.9</v>
      </c>
      <c r="L15" s="113">
        <v>2</v>
      </c>
      <c r="M15" s="4">
        <f t="shared" si="0"/>
        <v>99.999999999999986</v>
      </c>
      <c r="AA15" s="33" t="s">
        <v>17</v>
      </c>
      <c r="AB15" s="34"/>
      <c r="AC15" s="29"/>
      <c r="AD15" s="29"/>
      <c r="AE15" s="32">
        <f>$D$104</f>
        <v>7</v>
      </c>
      <c r="AF15" s="31"/>
      <c r="AG15" s="32">
        <f>ROUND(($AG$13*AE15)/100,1)</f>
        <v>4.5999999999999996</v>
      </c>
      <c r="AH15" s="29" t="s">
        <v>68</v>
      </c>
      <c r="AI15" s="32"/>
      <c r="AJ15" s="34"/>
      <c r="AK15" s="110">
        <v>1</v>
      </c>
    </row>
    <row r="16" spans="1:37" ht="22.5" x14ac:dyDescent="0.25">
      <c r="A16" s="111" t="s">
        <v>93</v>
      </c>
      <c r="B16" s="112">
        <v>5</v>
      </c>
      <c r="C16" s="113">
        <v>68.8</v>
      </c>
      <c r="D16" s="113">
        <v>0</v>
      </c>
      <c r="E16" s="113">
        <v>0</v>
      </c>
      <c r="F16" s="113">
        <v>0</v>
      </c>
      <c r="G16" s="113"/>
      <c r="H16" s="113"/>
      <c r="I16" s="113"/>
      <c r="J16" s="113"/>
      <c r="K16" s="113"/>
      <c r="L16" s="113"/>
      <c r="M16" s="26">
        <f t="shared" si="0"/>
        <v>68.8</v>
      </c>
      <c r="N16" s="26"/>
      <c r="AA16" s="33" t="s">
        <v>18</v>
      </c>
      <c r="AB16" s="29"/>
      <c r="AC16" s="29"/>
      <c r="AD16" s="29"/>
      <c r="AE16" s="32">
        <f>$E$104</f>
        <v>18</v>
      </c>
      <c r="AF16" s="31"/>
      <c r="AG16" s="32">
        <f>ROUND(($AG$13*AE16)/100,1)</f>
        <v>11.7</v>
      </c>
      <c r="AH16" s="29" t="s">
        <v>68</v>
      </c>
      <c r="AI16" s="32"/>
      <c r="AJ16" s="34"/>
      <c r="AK16" s="110">
        <v>1</v>
      </c>
    </row>
    <row r="17" spans="1:37" ht="22.5" x14ac:dyDescent="0.25">
      <c r="A17" s="111" t="s">
        <v>94</v>
      </c>
      <c r="B17" s="112">
        <v>0.5</v>
      </c>
      <c r="C17" s="113">
        <v>0.08</v>
      </c>
      <c r="D17" s="113">
        <v>0</v>
      </c>
      <c r="E17" s="113">
        <v>0</v>
      </c>
      <c r="F17" s="113">
        <v>0</v>
      </c>
      <c r="G17" s="113">
        <v>0</v>
      </c>
      <c r="H17" s="113">
        <v>99.92</v>
      </c>
      <c r="I17" s="113">
        <v>39200</v>
      </c>
      <c r="J17" s="113">
        <v>0</v>
      </c>
      <c r="K17" s="113">
        <v>0</v>
      </c>
      <c r="L17" s="113">
        <v>0</v>
      </c>
      <c r="M17" s="4">
        <f t="shared" si="0"/>
        <v>100</v>
      </c>
      <c r="AA17" s="33" t="s">
        <v>20</v>
      </c>
      <c r="AB17" s="34"/>
      <c r="AC17" s="29"/>
      <c r="AD17" s="29"/>
      <c r="AE17" s="32">
        <f>$F$106</f>
        <v>48.5</v>
      </c>
      <c r="AF17" s="31"/>
      <c r="AG17" s="32">
        <f>AG18+AG19</f>
        <v>31.6</v>
      </c>
      <c r="AH17" s="29" t="s">
        <v>68</v>
      </c>
      <c r="AI17" s="32"/>
      <c r="AJ17" s="34"/>
      <c r="AK17" s="110">
        <v>1</v>
      </c>
    </row>
    <row r="18" spans="1:37" ht="22.5" x14ac:dyDescent="0.25">
      <c r="A18" s="111" t="s">
        <v>95</v>
      </c>
      <c r="B18" s="112">
        <v>16</v>
      </c>
      <c r="C18" s="113">
        <v>3</v>
      </c>
      <c r="D18" s="113">
        <v>0</v>
      </c>
      <c r="E18" s="113">
        <v>0.2</v>
      </c>
      <c r="F18" s="113">
        <v>14.7</v>
      </c>
      <c r="G18" s="113">
        <v>82.1</v>
      </c>
      <c r="H18" s="113">
        <v>0</v>
      </c>
      <c r="I18" s="113">
        <v>46.3</v>
      </c>
      <c r="J18" s="113"/>
      <c r="K18" s="113"/>
      <c r="L18" s="113"/>
      <c r="M18" s="4">
        <f t="shared" si="0"/>
        <v>100</v>
      </c>
      <c r="AA18" s="34" t="s">
        <v>42</v>
      </c>
      <c r="AB18" s="34"/>
      <c r="AC18" s="29"/>
      <c r="AD18" s="29"/>
      <c r="AE18" s="32">
        <f>$F$104</f>
        <v>45.49</v>
      </c>
      <c r="AF18" s="31"/>
      <c r="AG18" s="32">
        <f>ROUND(($AG$13*AE18)/100,1)</f>
        <v>29.6</v>
      </c>
      <c r="AH18" s="29" t="s">
        <v>68</v>
      </c>
      <c r="AI18" s="37"/>
      <c r="AJ18" s="34"/>
      <c r="AK18" s="110">
        <v>1</v>
      </c>
    </row>
    <row r="19" spans="1:37" ht="22.5" x14ac:dyDescent="0.25">
      <c r="A19" s="111" t="s">
        <v>96</v>
      </c>
      <c r="B19" s="112">
        <v>0.08</v>
      </c>
      <c r="C19" s="113">
        <v>5.4</v>
      </c>
      <c r="D19" s="113">
        <v>14.1</v>
      </c>
      <c r="E19" s="113">
        <v>1.4</v>
      </c>
      <c r="F19" s="113">
        <v>76.2</v>
      </c>
      <c r="G19" s="113">
        <v>0.9</v>
      </c>
      <c r="H19" s="113">
        <v>2</v>
      </c>
      <c r="I19" s="113">
        <v>124</v>
      </c>
      <c r="J19" s="113">
        <v>0</v>
      </c>
      <c r="K19" s="113">
        <v>0.4</v>
      </c>
      <c r="L19" s="113">
        <v>0</v>
      </c>
      <c r="M19" s="4">
        <f t="shared" si="0"/>
        <v>100</v>
      </c>
      <c r="AA19" s="93" t="s">
        <v>43</v>
      </c>
      <c r="AB19" s="34"/>
      <c r="AC19" s="94"/>
      <c r="AD19" s="29"/>
      <c r="AE19" s="32">
        <f>$G$104</f>
        <v>3.01</v>
      </c>
      <c r="AF19" s="31"/>
      <c r="AG19" s="32">
        <f>ROUND(($AG$13*AE19)/100,1)</f>
        <v>2</v>
      </c>
      <c r="AH19" s="94" t="s">
        <v>68</v>
      </c>
      <c r="AI19" s="37"/>
      <c r="AJ19" s="34"/>
      <c r="AK19" s="110">
        <v>1</v>
      </c>
    </row>
    <row r="20" spans="1:37" ht="22.5" x14ac:dyDescent="0.25">
      <c r="A20" s="111" t="s">
        <v>97</v>
      </c>
      <c r="B20" s="112">
        <v>11</v>
      </c>
      <c r="C20" s="113">
        <v>47.6</v>
      </c>
      <c r="D20" s="113">
        <v>0</v>
      </c>
      <c r="E20" s="113">
        <v>0</v>
      </c>
      <c r="F20" s="113">
        <v>50</v>
      </c>
      <c r="G20" s="113">
        <v>0.8</v>
      </c>
      <c r="H20" s="113">
        <v>1.6</v>
      </c>
      <c r="I20" s="113">
        <v>313</v>
      </c>
      <c r="J20" s="113">
        <v>0</v>
      </c>
      <c r="K20" s="113">
        <v>0</v>
      </c>
      <c r="L20" s="113">
        <v>0</v>
      </c>
      <c r="M20" s="4">
        <f t="shared" si="0"/>
        <v>99.999999999999986</v>
      </c>
      <c r="AA20" s="33" t="s">
        <v>21</v>
      </c>
      <c r="AB20" s="34"/>
      <c r="AC20" s="29"/>
      <c r="AD20" s="29"/>
      <c r="AE20" s="37">
        <f>ROUND($AE$22/1000*2.54,2)</f>
        <v>0.71</v>
      </c>
      <c r="AF20" s="31"/>
      <c r="AG20" s="37">
        <f>ROUND($AG$22/1000*2.54,2)</f>
        <v>0.46</v>
      </c>
      <c r="AH20" s="29" t="s">
        <v>68</v>
      </c>
      <c r="AI20" s="30"/>
      <c r="AJ20" s="34"/>
      <c r="AK20" s="110">
        <v>2</v>
      </c>
    </row>
    <row r="21" spans="1:37" ht="22.5" x14ac:dyDescent="0.25">
      <c r="A21" s="111" t="s">
        <v>98</v>
      </c>
      <c r="B21" s="112">
        <v>4</v>
      </c>
      <c r="C21" s="113">
        <v>40.200000000000003</v>
      </c>
      <c r="D21" s="113">
        <v>0</v>
      </c>
      <c r="E21" s="113">
        <v>26.6</v>
      </c>
      <c r="F21" s="113">
        <v>33</v>
      </c>
      <c r="G21" s="113">
        <v>0.1</v>
      </c>
      <c r="H21" s="113">
        <v>0.1</v>
      </c>
      <c r="I21" s="113">
        <v>24</v>
      </c>
      <c r="J21" s="113">
        <v>0.2</v>
      </c>
      <c r="K21" s="113">
        <v>13.06</v>
      </c>
      <c r="L21" s="113">
        <v>0</v>
      </c>
      <c r="M21" s="4">
        <f t="shared" si="0"/>
        <v>100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1" t="s">
        <v>99</v>
      </c>
      <c r="B22" s="112">
        <v>6</v>
      </c>
      <c r="C22" s="113">
        <v>100</v>
      </c>
      <c r="D22" s="113"/>
      <c r="E22" s="113"/>
      <c r="F22" s="113"/>
      <c r="G22" s="113"/>
      <c r="H22" s="113"/>
      <c r="I22" s="113"/>
      <c r="J22" s="113"/>
      <c r="K22" s="113"/>
      <c r="L22" s="113"/>
      <c r="M22" s="4">
        <f t="shared" si="0"/>
        <v>100</v>
      </c>
      <c r="AA22" s="33" t="s">
        <v>22</v>
      </c>
      <c r="AB22" s="34"/>
      <c r="AC22" s="29"/>
      <c r="AD22" s="29"/>
      <c r="AE22" s="30">
        <f>$I$104</f>
        <v>280</v>
      </c>
      <c r="AF22" s="31"/>
      <c r="AG22" s="30">
        <f>ROUND(($AG$13*AE22)/100,0)</f>
        <v>182</v>
      </c>
      <c r="AH22" s="29" t="s">
        <v>69</v>
      </c>
      <c r="AI22" s="42"/>
      <c r="AJ22" s="40"/>
    </row>
    <row r="23" spans="1:37" ht="22.5" x14ac:dyDescent="0.25">
      <c r="A23" s="111"/>
      <c r="B23" s="112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2">
        <f>$C$104</f>
        <v>25.4</v>
      </c>
      <c r="AF23" s="43"/>
      <c r="AG23" s="44">
        <f>ROUND(($AG$13*AE23)/100,1)</f>
        <v>16.5</v>
      </c>
      <c r="AH23" s="41" t="s">
        <v>68</v>
      </c>
      <c r="AI23" s="37"/>
      <c r="AJ23" s="34"/>
    </row>
    <row r="24" spans="1:37" ht="22.5" x14ac:dyDescent="0.25">
      <c r="A24" s="111"/>
      <c r="B24" s="112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4">
        <f t="shared" si="1"/>
        <v>0</v>
      </c>
      <c r="AA24" s="33" t="s">
        <v>26</v>
      </c>
      <c r="AB24" s="40"/>
      <c r="AC24" s="41"/>
      <c r="AD24" s="41"/>
      <c r="AE24" s="42">
        <f>$H$104</f>
        <v>1.1000000000000001</v>
      </c>
      <c r="AF24" s="43"/>
      <c r="AG24" s="44">
        <f>ROUND(($AG$13*AE24)/100,1)</f>
        <v>0.7</v>
      </c>
      <c r="AH24" s="41" t="s">
        <v>68</v>
      </c>
      <c r="AI24" s="37"/>
      <c r="AJ24" s="34"/>
    </row>
    <row r="25" spans="1:37" ht="22.7" customHeight="1" x14ac:dyDescent="0.25">
      <c r="A25" s="111"/>
      <c r="B25" s="112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4">
        <f t="shared" si="1"/>
        <v>0</v>
      </c>
      <c r="AA25" s="33" t="s">
        <v>12</v>
      </c>
      <c r="AB25" s="29"/>
      <c r="AC25" s="29"/>
      <c r="AD25" s="29"/>
      <c r="AE25" s="37">
        <f>$K$104</f>
        <v>3.45</v>
      </c>
      <c r="AF25" s="47"/>
      <c r="AG25" s="37">
        <f>ROUND(($AG$13*AE25)/100,2)</f>
        <v>2.2400000000000002</v>
      </c>
      <c r="AH25" s="29" t="s">
        <v>68</v>
      </c>
      <c r="AI25" s="37"/>
      <c r="AJ25" s="34"/>
      <c r="AK25" s="110">
        <v>2</v>
      </c>
    </row>
    <row r="26" spans="1:37" ht="22.5" x14ac:dyDescent="0.25">
      <c r="A26" s="111"/>
      <c r="B26" s="112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4">
        <f t="shared" si="1"/>
        <v>0</v>
      </c>
      <c r="AA26" s="33" t="s">
        <v>28</v>
      </c>
      <c r="AB26" s="29"/>
      <c r="AC26" s="29"/>
      <c r="AD26" s="29"/>
      <c r="AE26" s="37">
        <f>$J$104</f>
        <v>0.23</v>
      </c>
      <c r="AF26" s="48"/>
      <c r="AG26" s="37">
        <f>ROUND(($AG$13*AE26)/100,2)</f>
        <v>0.15</v>
      </c>
      <c r="AH26" s="29" t="s">
        <v>68</v>
      </c>
      <c r="AI26" s="37"/>
      <c r="AJ26" s="34"/>
      <c r="AK26" s="110">
        <v>2</v>
      </c>
    </row>
    <row r="27" spans="1:37" ht="22.5" x14ac:dyDescent="0.25">
      <c r="A27" s="111"/>
      <c r="B27" s="112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4">
        <f t="shared" si="1"/>
        <v>0</v>
      </c>
      <c r="AA27" s="33" t="s">
        <v>29</v>
      </c>
      <c r="AB27" s="29"/>
      <c r="AC27" s="29"/>
      <c r="AD27" s="29"/>
      <c r="AE27" s="97">
        <f>$L$104</f>
        <v>166</v>
      </c>
      <c r="AF27" s="48"/>
      <c r="AG27" s="30">
        <f>ROUND(($AG$13*AE27)/100,0)</f>
        <v>108</v>
      </c>
      <c r="AH27" s="29" t="s">
        <v>69</v>
      </c>
      <c r="AI27" s="37"/>
      <c r="AJ27" s="34"/>
      <c r="AK27" s="110">
        <v>0</v>
      </c>
    </row>
    <row r="28" spans="1:37" x14ac:dyDescent="0.2">
      <c r="A28" s="111"/>
      <c r="B28" s="112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4">
        <f>SUM(C28:H28)</f>
        <v>0</v>
      </c>
    </row>
    <row r="29" spans="1:37" x14ac:dyDescent="0.2">
      <c r="A29" s="111"/>
      <c r="B29" s="112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4">
        <f>SUM(C29:H29)</f>
        <v>0</v>
      </c>
      <c r="O29" s="51"/>
      <c r="P29" s="52"/>
    </row>
    <row r="30" spans="1:37" x14ac:dyDescent="0.2">
      <c r="A30" s="111"/>
      <c r="B30" s="112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4">
        <f>SUM(C30:H30)</f>
        <v>0</v>
      </c>
      <c r="O30" s="54"/>
      <c r="P30" s="52"/>
    </row>
    <row r="31" spans="1:37" ht="18" x14ac:dyDescent="0.2">
      <c r="A31" s="111"/>
      <c r="B31" s="112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4">
        <f>SUM(C31:H31)</f>
        <v>0</v>
      </c>
      <c r="N31" s="50"/>
      <c r="P31" s="52"/>
      <c r="AA31" s="247" t="s">
        <v>77</v>
      </c>
      <c r="AB31" s="247"/>
      <c r="AC31" s="247"/>
      <c r="AD31" s="247"/>
      <c r="AE31" s="247"/>
      <c r="AF31" s="247"/>
      <c r="AG31" s="247"/>
      <c r="AH31" s="247"/>
      <c r="AI31" s="247"/>
      <c r="AJ31" s="247"/>
    </row>
    <row r="32" spans="1:37" x14ac:dyDescent="0.2">
      <c r="A32" s="111"/>
      <c r="B32" s="112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1"/>
      <c r="B33" s="112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1"/>
      <c r="B34" s="112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1"/>
      <c r="B35" s="112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4">
        <f t="shared" si="1"/>
        <v>0</v>
      </c>
      <c r="O35" s="54"/>
      <c r="P35" s="52"/>
      <c r="AA35" s="5"/>
      <c r="AB35" s="5"/>
      <c r="AC35" s="107" t="s">
        <v>30</v>
      </c>
      <c r="AD35" s="107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1"/>
      <c r="B36" s="112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4">
        <f t="shared" si="1"/>
        <v>0</v>
      </c>
      <c r="N36" s="50"/>
      <c r="O36" s="54"/>
      <c r="P36" s="52"/>
      <c r="AA36" s="49" t="s">
        <v>65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1"/>
      <c r="B37" s="112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4">
        <f t="shared" si="1"/>
        <v>0</v>
      </c>
      <c r="N37" s="50"/>
      <c r="O37" s="54"/>
      <c r="AA37" s="128" t="s">
        <v>67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">
        <v>66</v>
      </c>
      <c r="AB38" s="50"/>
      <c r="AC38" s="54"/>
      <c r="AD38" s="52"/>
      <c r="AI38" s="65"/>
      <c r="AJ38" s="65"/>
    </row>
    <row r="39" spans="1:37" x14ac:dyDescent="0.2">
      <c r="A39" s="10" t="s">
        <v>24</v>
      </c>
      <c r="B39" s="10" t="s">
        <v>19</v>
      </c>
      <c r="C39" s="10" t="s">
        <v>4</v>
      </c>
      <c r="D39" s="10" t="s">
        <v>5</v>
      </c>
      <c r="E39" s="10" t="s">
        <v>6</v>
      </c>
      <c r="F39" s="10" t="s">
        <v>7</v>
      </c>
      <c r="G39" s="10" t="s">
        <v>8</v>
      </c>
      <c r="H39" s="10" t="s">
        <v>9</v>
      </c>
      <c r="I39" s="11" t="s">
        <v>25</v>
      </c>
      <c r="J39" s="12" t="s">
        <v>11</v>
      </c>
      <c r="K39" s="13" t="s">
        <v>12</v>
      </c>
      <c r="L39" s="14" t="s">
        <v>13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3">
        <v>72</v>
      </c>
      <c r="C40" s="45"/>
      <c r="D40" s="45"/>
      <c r="E40" s="45"/>
      <c r="F40" s="45"/>
      <c r="G40" s="45"/>
      <c r="H40" s="45"/>
      <c r="I40" s="46"/>
      <c r="J40" s="36"/>
      <c r="K40" s="92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1" t="s">
        <v>106</v>
      </c>
      <c r="B41" s="112">
        <v>1</v>
      </c>
      <c r="C41" s="113">
        <v>0.4</v>
      </c>
      <c r="D41" s="113">
        <v>3.7</v>
      </c>
      <c r="E41" s="113">
        <v>25</v>
      </c>
      <c r="F41" s="113">
        <v>70</v>
      </c>
      <c r="G41" s="113">
        <v>0</v>
      </c>
      <c r="H41" s="113">
        <v>0.9</v>
      </c>
      <c r="I41" s="113">
        <v>65</v>
      </c>
      <c r="J41" s="113">
        <v>6.6</v>
      </c>
      <c r="K41" s="113">
        <v>12.6</v>
      </c>
      <c r="L41" s="113">
        <v>9.1999999999999993</v>
      </c>
      <c r="M41" s="4">
        <f t="shared" si="2"/>
        <v>100</v>
      </c>
      <c r="O41" s="58"/>
      <c r="AA41" s="64"/>
      <c r="AI41" s="66"/>
      <c r="AJ41" s="66"/>
    </row>
    <row r="42" spans="1:37" x14ac:dyDescent="0.2">
      <c r="A42" s="111"/>
      <c r="B42" s="112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4">
        <f t="shared" si="2"/>
        <v>0</v>
      </c>
      <c r="Y42" s="108"/>
      <c r="Z42" s="108"/>
      <c r="AA42" s="109"/>
      <c r="AB42" s="108"/>
      <c r="AC42" s="108"/>
      <c r="AD42" s="108"/>
      <c r="AE42" s="108"/>
    </row>
    <row r="43" spans="1:37" x14ac:dyDescent="0.2">
      <c r="A43" s="111"/>
      <c r="B43" s="112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4">
        <f t="shared" si="2"/>
        <v>0</v>
      </c>
      <c r="Y43" s="108"/>
      <c r="Z43" s="108"/>
      <c r="AA43" s="108"/>
      <c r="AB43" s="108"/>
      <c r="AC43" s="108"/>
      <c r="AD43" s="108"/>
      <c r="AE43" s="108"/>
    </row>
    <row r="44" spans="1:37" x14ac:dyDescent="0.2">
      <c r="A44" s="111"/>
      <c r="B44" s="112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4">
        <f t="shared" si="2"/>
        <v>0</v>
      </c>
      <c r="Y44" s="108"/>
      <c r="Z44" s="108"/>
      <c r="AA44" s="108"/>
      <c r="AB44" s="108"/>
      <c r="AC44" s="108"/>
      <c r="AD44" s="108"/>
      <c r="AE44" s="108"/>
    </row>
    <row r="45" spans="1:37" x14ac:dyDescent="0.2">
      <c r="A45" s="111"/>
      <c r="B45" s="112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4">
        <f t="shared" si="2"/>
        <v>0</v>
      </c>
      <c r="Y45" s="108"/>
      <c r="Z45" s="108"/>
      <c r="AA45" s="50"/>
      <c r="AB45" s="50"/>
      <c r="AC45" s="51"/>
      <c r="AD45" s="52"/>
      <c r="AE45" s="108"/>
    </row>
    <row r="46" spans="1:37" x14ac:dyDescent="0.2">
      <c r="A46" s="111"/>
      <c r="B46" s="112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4">
        <f t="shared" si="2"/>
        <v>0</v>
      </c>
      <c r="Y46" s="108"/>
      <c r="Z46" s="108"/>
      <c r="AA46" s="50"/>
      <c r="AB46" s="50"/>
      <c r="AC46" s="54"/>
      <c r="AD46" s="52"/>
      <c r="AE46" s="108"/>
    </row>
    <row r="47" spans="1:37" x14ac:dyDescent="0.2">
      <c r="A47" s="111"/>
      <c r="B47" s="112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4">
        <f t="shared" si="2"/>
        <v>0</v>
      </c>
      <c r="Y47" s="108"/>
      <c r="Z47" s="108"/>
      <c r="AA47" s="50"/>
      <c r="AB47" s="50"/>
      <c r="AC47" s="54"/>
      <c r="AD47" s="52"/>
      <c r="AE47" s="108"/>
    </row>
    <row r="48" spans="1:37" x14ac:dyDescent="0.2">
      <c r="A48" s="111"/>
      <c r="B48" s="112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4">
        <f t="shared" si="2"/>
        <v>0</v>
      </c>
      <c r="Y48" s="108"/>
      <c r="Z48" s="108"/>
      <c r="AA48" s="50"/>
      <c r="AB48" s="50"/>
      <c r="AC48" s="54"/>
      <c r="AD48" s="52"/>
      <c r="AE48" s="108"/>
    </row>
    <row r="49" spans="1:31" x14ac:dyDescent="0.2">
      <c r="A49" s="111"/>
      <c r="B49" s="112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4">
        <f t="shared" si="2"/>
        <v>0</v>
      </c>
      <c r="Y49" s="108"/>
      <c r="Z49" s="108"/>
      <c r="AA49" s="50"/>
      <c r="AB49" s="50"/>
      <c r="AC49" s="58"/>
      <c r="AD49" s="52"/>
      <c r="AE49" s="108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08"/>
      <c r="Z50" s="108"/>
      <c r="AA50" s="50"/>
      <c r="AB50" s="50"/>
      <c r="AC50" s="58"/>
      <c r="AD50" s="52"/>
      <c r="AE50" s="108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08"/>
      <c r="Z51" s="108"/>
      <c r="AA51" s="50"/>
      <c r="AB51" s="50"/>
      <c r="AC51" s="58"/>
      <c r="AD51" s="52"/>
      <c r="AE51" s="108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08"/>
      <c r="Z52" s="108"/>
      <c r="AA52" s="50"/>
      <c r="AB52" s="50"/>
      <c r="AC52" s="51"/>
      <c r="AD52" s="52"/>
      <c r="AE52" s="108"/>
    </row>
    <row r="53" spans="1:31" x14ac:dyDescent="0.2">
      <c r="A53" s="111" t="s">
        <v>85</v>
      </c>
      <c r="B53" s="112">
        <v>100</v>
      </c>
      <c r="C53" s="61">
        <f>C8*B53/100</f>
        <v>14.5</v>
      </c>
      <c r="D53" s="61">
        <f>D8*B53/100</f>
        <v>7.8</v>
      </c>
      <c r="E53" s="61">
        <f>E8*B53/100</f>
        <v>1.5</v>
      </c>
      <c r="F53" s="61">
        <f>F8*B53/100</f>
        <v>73.319999999999993</v>
      </c>
      <c r="G53" s="61">
        <f>G8*B53/100</f>
        <v>2.5</v>
      </c>
      <c r="H53" s="61">
        <f>H8*B53/100</f>
        <v>0.38</v>
      </c>
      <c r="I53" s="62">
        <f>I8*B53/100</f>
        <v>0</v>
      </c>
      <c r="J53" s="62">
        <f>J8*B53/100</f>
        <v>0</v>
      </c>
      <c r="K53" s="62">
        <f>K8*B53/100</f>
        <v>0.34</v>
      </c>
      <c r="L53" s="63">
        <f>L8*B53/100</f>
        <v>0</v>
      </c>
      <c r="Y53" s="108"/>
      <c r="Z53" s="108"/>
      <c r="AA53" s="108"/>
      <c r="AB53" s="108"/>
      <c r="AC53" s="108"/>
      <c r="AD53" s="108"/>
      <c r="AE53" s="108"/>
    </row>
    <row r="54" spans="1:31" x14ac:dyDescent="0.2">
      <c r="A54" s="111" t="s">
        <v>86</v>
      </c>
      <c r="B54" s="112">
        <v>100</v>
      </c>
      <c r="C54" s="61">
        <f t="shared" ref="C54:C81" si="3">C9*B54/100</f>
        <v>0.8</v>
      </c>
      <c r="D54" s="61">
        <f t="shared" ref="D54:D82" si="4">D9*B54/100</f>
        <v>0</v>
      </c>
      <c r="E54" s="61">
        <f t="shared" ref="E54:E82" si="5">E9*B54/100</f>
        <v>0</v>
      </c>
      <c r="F54" s="61">
        <f t="shared" ref="F54:F82" si="6">F9*B54/100</f>
        <v>99.2</v>
      </c>
      <c r="G54" s="61">
        <f t="shared" ref="G54:G82" si="7">G9*B54/100</f>
        <v>0</v>
      </c>
      <c r="H54" s="61">
        <f t="shared" ref="H54:H82" si="8">H9*B54/100</f>
        <v>0</v>
      </c>
      <c r="I54" s="62">
        <f t="shared" ref="I54:I82" si="9">I9*B54/100</f>
        <v>1</v>
      </c>
      <c r="J54" s="62">
        <f t="shared" ref="J54:J82" si="10">J9*B54/100</f>
        <v>0</v>
      </c>
      <c r="K54" s="62">
        <f t="shared" ref="K54:K82" si="11">K9*B54/100</f>
        <v>0</v>
      </c>
      <c r="L54" s="63">
        <f t="shared" ref="L54:L82" si="12">L9*B54/100</f>
        <v>0</v>
      </c>
      <c r="Y54" s="108"/>
      <c r="Z54" s="108"/>
      <c r="AA54" s="108"/>
      <c r="AB54" s="108"/>
      <c r="AC54" s="108"/>
      <c r="AD54" s="108"/>
      <c r="AE54" s="108"/>
    </row>
    <row r="55" spans="1:31" x14ac:dyDescent="0.2">
      <c r="A55" s="111" t="s">
        <v>87</v>
      </c>
      <c r="B55" s="112">
        <v>180</v>
      </c>
      <c r="C55" s="61">
        <f t="shared" si="3"/>
        <v>136.97999999999999</v>
      </c>
      <c r="D55" s="61">
        <f t="shared" si="4"/>
        <v>22.14</v>
      </c>
      <c r="E55" s="61">
        <f t="shared" si="5"/>
        <v>18.540000000000003</v>
      </c>
      <c r="F55" s="61">
        <f t="shared" si="6"/>
        <v>0.54</v>
      </c>
      <c r="G55" s="61">
        <f t="shared" si="7"/>
        <v>0</v>
      </c>
      <c r="H55" s="61">
        <f t="shared" si="8"/>
        <v>1.8</v>
      </c>
      <c r="I55" s="62">
        <f t="shared" si="9"/>
        <v>252</v>
      </c>
      <c r="J55" s="62">
        <f t="shared" si="10"/>
        <v>0</v>
      </c>
      <c r="K55" s="62">
        <f t="shared" si="11"/>
        <v>5.1120000000000001</v>
      </c>
      <c r="L55" s="63">
        <f t="shared" si="12"/>
        <v>756</v>
      </c>
    </row>
    <row r="56" spans="1:31" x14ac:dyDescent="0.2">
      <c r="A56" s="111" t="s">
        <v>88</v>
      </c>
      <c r="B56" s="112">
        <v>20</v>
      </c>
      <c r="C56" s="61">
        <f t="shared" si="3"/>
        <v>0</v>
      </c>
      <c r="D56" s="61">
        <f t="shared" si="4"/>
        <v>0</v>
      </c>
      <c r="E56" s="61">
        <f t="shared" si="5"/>
        <v>20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0.24</v>
      </c>
      <c r="K56" s="62">
        <f t="shared" si="11"/>
        <v>2.6579999999999995</v>
      </c>
      <c r="L56" s="63">
        <f t="shared" si="12"/>
        <v>0.2</v>
      </c>
    </row>
    <row r="57" spans="1:31" x14ac:dyDescent="0.2">
      <c r="A57" s="111" t="s">
        <v>89</v>
      </c>
      <c r="B57" s="112">
        <v>2</v>
      </c>
      <c r="C57" s="61">
        <f t="shared" si="3"/>
        <v>8.199999999999999E-2</v>
      </c>
      <c r="D57" s="61">
        <f t="shared" si="4"/>
        <v>0</v>
      </c>
      <c r="E57" s="61">
        <f t="shared" si="5"/>
        <v>8.0000000000000002E-3</v>
      </c>
      <c r="F57" s="61">
        <f t="shared" si="6"/>
        <v>0.55200000000000005</v>
      </c>
      <c r="G57" s="61">
        <f t="shared" si="7"/>
        <v>0</v>
      </c>
      <c r="H57" s="61">
        <f t="shared" si="8"/>
        <v>1.3580000000000001</v>
      </c>
      <c r="I57" s="62">
        <f t="shared" si="9"/>
        <v>377.44</v>
      </c>
      <c r="J57" s="62">
        <f t="shared" si="10"/>
        <v>6.0000000000000001E-3</v>
      </c>
      <c r="K57" s="62">
        <f t="shared" si="11"/>
        <v>3.4000000000000002E-3</v>
      </c>
      <c r="L57" s="63">
        <f t="shared" si="12"/>
        <v>0.1</v>
      </c>
    </row>
    <row r="58" spans="1:31" x14ac:dyDescent="0.2">
      <c r="A58" s="111" t="s">
        <v>90</v>
      </c>
      <c r="B58" s="112">
        <v>4.5</v>
      </c>
      <c r="C58" s="61">
        <f t="shared" si="3"/>
        <v>1.3499999999999998E-2</v>
      </c>
      <c r="D58" s="61">
        <f t="shared" si="4"/>
        <v>0</v>
      </c>
      <c r="E58" s="61">
        <f t="shared" si="5"/>
        <v>4.5000000000000005E-3</v>
      </c>
      <c r="F58" s="61">
        <f t="shared" si="6"/>
        <v>2.0204999999999997</v>
      </c>
      <c r="G58" s="61">
        <f t="shared" si="7"/>
        <v>0</v>
      </c>
      <c r="H58" s="61">
        <f t="shared" si="8"/>
        <v>2.4615</v>
      </c>
      <c r="I58" s="62">
        <f t="shared" si="9"/>
        <v>566.01</v>
      </c>
      <c r="J58" s="62">
        <f t="shared" si="10"/>
        <v>0</v>
      </c>
      <c r="K58" s="62">
        <f t="shared" si="11"/>
        <v>8.9999999999999998E-4</v>
      </c>
      <c r="L58" s="63">
        <f t="shared" si="12"/>
        <v>0</v>
      </c>
      <c r="AA58" s="95"/>
    </row>
    <row r="59" spans="1:31" x14ac:dyDescent="0.2">
      <c r="A59" s="111" t="s">
        <v>91</v>
      </c>
      <c r="B59" s="112">
        <v>35</v>
      </c>
      <c r="C59" s="61">
        <f t="shared" si="3"/>
        <v>11.27</v>
      </c>
      <c r="D59" s="61">
        <f t="shared" si="4"/>
        <v>0</v>
      </c>
      <c r="E59" s="61">
        <f t="shared" si="5"/>
        <v>11.9</v>
      </c>
      <c r="F59" s="61">
        <f t="shared" si="6"/>
        <v>11.76</v>
      </c>
      <c r="G59" s="61">
        <f t="shared" si="7"/>
        <v>0</v>
      </c>
      <c r="H59" s="61">
        <f t="shared" si="8"/>
        <v>7.0000000000000007E-2</v>
      </c>
      <c r="I59" s="62">
        <f t="shared" si="9"/>
        <v>1.4</v>
      </c>
      <c r="J59" s="62">
        <f t="shared" si="10"/>
        <v>0.105</v>
      </c>
      <c r="K59" s="62">
        <f t="shared" si="11"/>
        <v>3.43</v>
      </c>
      <c r="L59" s="63">
        <f t="shared" si="12"/>
        <v>0</v>
      </c>
      <c r="AA59" s="49"/>
    </row>
    <row r="60" spans="1:31" x14ac:dyDescent="0.2">
      <c r="A60" s="111" t="s">
        <v>92</v>
      </c>
      <c r="B60" s="112">
        <v>20</v>
      </c>
      <c r="C60" s="61">
        <f t="shared" si="3"/>
        <v>0.02</v>
      </c>
      <c r="D60" s="61">
        <f t="shared" si="4"/>
        <v>0</v>
      </c>
      <c r="E60" s="61">
        <f t="shared" si="5"/>
        <v>19.96</v>
      </c>
      <c r="F60" s="61">
        <f t="shared" si="6"/>
        <v>0</v>
      </c>
      <c r="G60" s="61">
        <f t="shared" si="7"/>
        <v>0</v>
      </c>
      <c r="H60" s="61">
        <f t="shared" si="8"/>
        <v>0.02</v>
      </c>
      <c r="I60" s="62">
        <f t="shared" si="9"/>
        <v>0</v>
      </c>
      <c r="J60" s="62">
        <f t="shared" si="10"/>
        <v>0.22</v>
      </c>
      <c r="K60" s="62">
        <f t="shared" si="11"/>
        <v>2.78</v>
      </c>
      <c r="L60" s="63">
        <f t="shared" si="12"/>
        <v>0.4</v>
      </c>
      <c r="AA60" s="99" t="s">
        <v>44</v>
      </c>
    </row>
    <row r="61" spans="1:31" x14ac:dyDescent="0.2">
      <c r="A61" s="111" t="s">
        <v>93</v>
      </c>
      <c r="B61" s="112">
        <v>5</v>
      </c>
      <c r="C61" s="61">
        <f t="shared" si="3"/>
        <v>3.44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29" t="s">
        <v>54</v>
      </c>
    </row>
    <row r="62" spans="1:31" x14ac:dyDescent="0.2">
      <c r="A62" s="111" t="s">
        <v>94</v>
      </c>
      <c r="B62" s="112">
        <v>0.5</v>
      </c>
      <c r="C62" s="61">
        <f t="shared" si="3"/>
        <v>4.0000000000000002E-4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0.49959999999999999</v>
      </c>
      <c r="I62" s="62">
        <f t="shared" si="9"/>
        <v>196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0" t="s">
        <v>55</v>
      </c>
    </row>
    <row r="63" spans="1:31" x14ac:dyDescent="0.2">
      <c r="A63" s="111" t="s">
        <v>95</v>
      </c>
      <c r="B63" s="112">
        <v>16</v>
      </c>
      <c r="C63" s="61">
        <f t="shared" si="3"/>
        <v>0.48</v>
      </c>
      <c r="D63" s="61">
        <f t="shared" si="4"/>
        <v>0</v>
      </c>
      <c r="E63" s="61">
        <f t="shared" si="5"/>
        <v>3.2000000000000001E-2</v>
      </c>
      <c r="F63" s="61">
        <f t="shared" si="6"/>
        <v>2.3519999999999999</v>
      </c>
      <c r="G63" s="61">
        <f t="shared" si="7"/>
        <v>13.135999999999999</v>
      </c>
      <c r="H63" s="61">
        <f t="shared" si="8"/>
        <v>0</v>
      </c>
      <c r="I63" s="62">
        <f t="shared" si="9"/>
        <v>7.4079999999999995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1" t="s">
        <v>96</v>
      </c>
      <c r="B64" s="112">
        <v>0.08</v>
      </c>
      <c r="C64" s="61">
        <f t="shared" si="3"/>
        <v>4.3200000000000009E-3</v>
      </c>
      <c r="D64" s="61">
        <f t="shared" si="4"/>
        <v>1.1279999999999998E-2</v>
      </c>
      <c r="E64" s="61">
        <f t="shared" si="5"/>
        <v>1.1199999999999999E-3</v>
      </c>
      <c r="F64" s="61">
        <f t="shared" si="6"/>
        <v>6.096E-2</v>
      </c>
      <c r="G64" s="61">
        <f t="shared" si="7"/>
        <v>7.2000000000000005E-4</v>
      </c>
      <c r="H64" s="61">
        <f t="shared" si="8"/>
        <v>1.6000000000000001E-3</v>
      </c>
      <c r="I64" s="62">
        <f t="shared" si="9"/>
        <v>9.9199999999999997E-2</v>
      </c>
      <c r="J64" s="62">
        <f t="shared" si="10"/>
        <v>0</v>
      </c>
      <c r="K64" s="62">
        <f t="shared" si="11"/>
        <v>3.2000000000000003E-4</v>
      </c>
      <c r="L64" s="63">
        <f t="shared" si="12"/>
        <v>0</v>
      </c>
    </row>
    <row r="65" spans="1:27" x14ac:dyDescent="0.2">
      <c r="A65" s="111" t="s">
        <v>97</v>
      </c>
      <c r="B65" s="112">
        <v>11</v>
      </c>
      <c r="C65" s="61">
        <f t="shared" si="3"/>
        <v>5.2360000000000007</v>
      </c>
      <c r="D65" s="61">
        <f t="shared" si="4"/>
        <v>0</v>
      </c>
      <c r="E65" s="61">
        <f t="shared" si="5"/>
        <v>0</v>
      </c>
      <c r="F65" s="61">
        <f t="shared" si="6"/>
        <v>5.5</v>
      </c>
      <c r="G65" s="61">
        <f t="shared" si="7"/>
        <v>8.8000000000000009E-2</v>
      </c>
      <c r="H65" s="61">
        <f t="shared" si="8"/>
        <v>0.17600000000000002</v>
      </c>
      <c r="I65" s="62">
        <f t="shared" si="9"/>
        <v>34.43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1" t="s">
        <v>98</v>
      </c>
      <c r="B66" s="112">
        <v>4</v>
      </c>
      <c r="C66" s="61">
        <f t="shared" si="3"/>
        <v>1.6080000000000001</v>
      </c>
      <c r="D66" s="61">
        <f t="shared" si="4"/>
        <v>0</v>
      </c>
      <c r="E66" s="61">
        <f t="shared" si="5"/>
        <v>1.0640000000000001</v>
      </c>
      <c r="F66" s="61">
        <f t="shared" si="6"/>
        <v>1.32</v>
      </c>
      <c r="G66" s="61">
        <f t="shared" si="7"/>
        <v>4.0000000000000001E-3</v>
      </c>
      <c r="H66" s="61">
        <f t="shared" si="8"/>
        <v>4.0000000000000001E-3</v>
      </c>
      <c r="I66" s="62">
        <f t="shared" si="9"/>
        <v>0.96</v>
      </c>
      <c r="J66" s="62">
        <f t="shared" si="10"/>
        <v>8.0000000000000002E-3</v>
      </c>
      <c r="K66" s="62">
        <f t="shared" si="11"/>
        <v>0.52239999999999998</v>
      </c>
      <c r="L66" s="63">
        <f t="shared" si="12"/>
        <v>0</v>
      </c>
    </row>
    <row r="67" spans="1:27" x14ac:dyDescent="0.2">
      <c r="A67" s="111" t="s">
        <v>99</v>
      </c>
      <c r="B67" s="112">
        <v>6</v>
      </c>
      <c r="C67" s="61">
        <f t="shared" si="3"/>
        <v>6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1"/>
      <c r="B68" s="112"/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1"/>
      <c r="B69" s="112"/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1" t="s">
        <v>45</v>
      </c>
    </row>
    <row r="70" spans="1:27" x14ac:dyDescent="0.2">
      <c r="A70" s="111"/>
      <c r="B70" s="112"/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2" t="s">
        <v>70</v>
      </c>
    </row>
    <row r="71" spans="1:27" x14ac:dyDescent="0.2">
      <c r="A71" s="111"/>
      <c r="B71" s="112"/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2" t="s">
        <v>60</v>
      </c>
    </row>
    <row r="72" spans="1:27" x14ac:dyDescent="0.2">
      <c r="A72" s="111"/>
      <c r="B72" s="112"/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2" t="s">
        <v>61</v>
      </c>
    </row>
    <row r="73" spans="1:27" x14ac:dyDescent="0.2">
      <c r="A73" s="111"/>
      <c r="B73" s="112"/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2" t="s">
        <v>62</v>
      </c>
    </row>
    <row r="74" spans="1:27" x14ac:dyDescent="0.2">
      <c r="A74" s="111"/>
      <c r="B74" s="112"/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2" t="s">
        <v>63</v>
      </c>
    </row>
    <row r="75" spans="1:27" x14ac:dyDescent="0.2">
      <c r="A75" s="111"/>
      <c r="B75" s="112"/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</row>
    <row r="76" spans="1:27" x14ac:dyDescent="0.2">
      <c r="A76" s="111"/>
      <c r="B76" s="112"/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1"/>
      <c r="B77" s="112"/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1"/>
      <c r="B78" s="112"/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1"/>
      <c r="B79" s="112"/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1"/>
      <c r="B80" s="112"/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1"/>
      <c r="B81" s="112"/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1"/>
      <c r="B82" s="112"/>
      <c r="C82" s="61">
        <f>C37*B82/100</f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504.08</v>
      </c>
      <c r="C83" s="61">
        <f t="shared" si="13"/>
        <v>180.43422000000001</v>
      </c>
      <c r="D83" s="61">
        <f t="shared" si="13"/>
        <v>29.951280000000001</v>
      </c>
      <c r="E83" s="61">
        <f t="shared" si="13"/>
        <v>73.009620000000012</v>
      </c>
      <c r="F83" s="61">
        <f t="shared" si="13"/>
        <v>196.62545999999995</v>
      </c>
      <c r="G83" s="61">
        <f t="shared" si="13"/>
        <v>15.728719999999997</v>
      </c>
      <c r="H83" s="61">
        <f t="shared" si="13"/>
        <v>6.7706999999999997</v>
      </c>
      <c r="I83" s="62">
        <f t="shared" si="13"/>
        <v>1436.7472000000002</v>
      </c>
      <c r="J83" s="62">
        <f t="shared" si="13"/>
        <v>0.57899999999999996</v>
      </c>
      <c r="K83" s="62">
        <f t="shared" si="13"/>
        <v>14.847019999999997</v>
      </c>
      <c r="L83" s="62">
        <f t="shared" si="13"/>
        <v>756.7</v>
      </c>
    </row>
    <row r="84" spans="1:12" x14ac:dyDescent="0.2">
      <c r="A84" s="10" t="s">
        <v>35</v>
      </c>
      <c r="B84" s="45">
        <v>11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448.63119999999998</v>
      </c>
      <c r="C85" s="61">
        <f>C83-B83*B84/100</f>
        <v>124.98542</v>
      </c>
      <c r="D85" s="61">
        <f t="shared" ref="D85:L85" si="14">SUM(D53:D82)</f>
        <v>29.951280000000001</v>
      </c>
      <c r="E85" s="61">
        <f t="shared" si="14"/>
        <v>73.009620000000012</v>
      </c>
      <c r="F85" s="61">
        <f t="shared" si="14"/>
        <v>196.62545999999995</v>
      </c>
      <c r="G85" s="61">
        <f t="shared" si="14"/>
        <v>15.728719999999997</v>
      </c>
      <c r="H85" s="61">
        <f t="shared" si="14"/>
        <v>6.7706999999999997</v>
      </c>
      <c r="I85" s="62">
        <f t="shared" si="14"/>
        <v>1436.7472000000002</v>
      </c>
      <c r="J85" s="62">
        <f t="shared" si="14"/>
        <v>0.57899999999999996</v>
      </c>
      <c r="K85" s="62">
        <f t="shared" si="14"/>
        <v>14.847019999999997</v>
      </c>
      <c r="L85" s="63">
        <f t="shared" si="14"/>
        <v>756.7</v>
      </c>
    </row>
    <row r="86" spans="1:12" x14ac:dyDescent="0.2">
      <c r="A86" s="10" t="s">
        <v>37</v>
      </c>
      <c r="B86" s="71">
        <f>SUM(C86:H86)</f>
        <v>99.7</v>
      </c>
      <c r="C86" s="71">
        <f>ROUND(+C85/B85*100,1)</f>
        <v>27.9</v>
      </c>
      <c r="D86" s="71">
        <f>ROUND(+D85/B85*100,1)</f>
        <v>6.7</v>
      </c>
      <c r="E86" s="71">
        <f>ROUND(+E85/B85*100,1)</f>
        <v>16.3</v>
      </c>
      <c r="F86" s="71">
        <f>ROUND(+F85/B85*100,1)</f>
        <v>43.8</v>
      </c>
      <c r="G86" s="71">
        <f>ROUND(+G85/B85*100,1)</f>
        <v>3.5</v>
      </c>
      <c r="H86" s="71">
        <f>ROUND(+H85/B85*100,1)</f>
        <v>1.5</v>
      </c>
      <c r="I86" s="72">
        <f>ROUND(+I85/B85*100,1)</f>
        <v>320.3</v>
      </c>
      <c r="J86" s="62">
        <f>(+J85/B85*100)</f>
        <v>0.129059236183306</v>
      </c>
      <c r="K86" s="62">
        <f>(+K85/B85*100)</f>
        <v>3.3094042500833645</v>
      </c>
      <c r="L86" s="63">
        <f>(+L85/B85*100)</f>
        <v>168.66860797911517</v>
      </c>
    </row>
    <row r="87" spans="1:12" x14ac:dyDescent="0.2">
      <c r="A87" s="10" t="s">
        <v>38</v>
      </c>
      <c r="B87" s="71">
        <f>SUM(C87:H87)</f>
        <v>100.00000000000001</v>
      </c>
      <c r="C87" s="260">
        <v>27.9</v>
      </c>
      <c r="D87" s="260">
        <v>6.7</v>
      </c>
      <c r="E87" s="260">
        <v>16.3</v>
      </c>
      <c r="F87" s="98">
        <f>F86+100-B86</f>
        <v>44.100000000000009</v>
      </c>
      <c r="G87" s="260">
        <v>3.5</v>
      </c>
      <c r="H87" s="260">
        <v>1.5</v>
      </c>
      <c r="I87" s="260">
        <v>320.3</v>
      </c>
      <c r="J87" s="261">
        <v>0.129059236183306</v>
      </c>
      <c r="K87" s="261">
        <v>3.3094042500833645</v>
      </c>
      <c r="L87" s="273">
        <v>168.66860797911517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64.08</v>
      </c>
      <c r="C90" s="61">
        <f>C87/100*B90</f>
        <v>17.878319999999999</v>
      </c>
      <c r="D90" s="61">
        <f>D87/100*B90</f>
        <v>4.2933599999999998</v>
      </c>
      <c r="E90" s="61">
        <f>E87/100*B90</f>
        <v>10.445040000000001</v>
      </c>
      <c r="F90" s="61">
        <f>F87/100*B90</f>
        <v>28.259280000000004</v>
      </c>
      <c r="G90" s="61">
        <f>G87/100*B90</f>
        <v>2.2428000000000003</v>
      </c>
      <c r="H90" s="61">
        <f>H87/100*B90</f>
        <v>0.96119999999999994</v>
      </c>
      <c r="I90" s="62">
        <f>I87/100*B90</f>
        <v>205.24824000000001</v>
      </c>
      <c r="J90" s="69">
        <f>J87/100*B90</f>
        <v>8.2701158546262477E-2</v>
      </c>
      <c r="K90" s="69">
        <f>K87/100*B90</f>
        <v>2.1206662434534196</v>
      </c>
      <c r="L90" s="70">
        <f>L87/100*B90</f>
        <v>108.08284399301699</v>
      </c>
    </row>
    <row r="91" spans="1:12" x14ac:dyDescent="0.2">
      <c r="A91" s="111" t="s">
        <v>106</v>
      </c>
      <c r="B91" s="112">
        <v>1</v>
      </c>
      <c r="C91" s="61">
        <f t="shared" ref="C91:C99" si="15">C41/100*B91</f>
        <v>4.0000000000000001E-3</v>
      </c>
      <c r="D91" s="61">
        <f t="shared" ref="D91:D99" si="16">D41/100*B91</f>
        <v>3.7000000000000005E-2</v>
      </c>
      <c r="E91" s="61">
        <f t="shared" ref="E91:E99" si="17">E41/100*B91</f>
        <v>0.25</v>
      </c>
      <c r="F91" s="61">
        <f t="shared" ref="F91:F99" si="18">F41/100*B91</f>
        <v>0.7</v>
      </c>
      <c r="G91" s="61">
        <f t="shared" ref="G91:G99" si="19">G41/100*B91</f>
        <v>0</v>
      </c>
      <c r="H91" s="61">
        <f t="shared" ref="H91:H99" si="20">H41/100*B91</f>
        <v>9.0000000000000011E-3</v>
      </c>
      <c r="I91" s="62">
        <f t="shared" ref="I91:I99" si="21">I41/100*B91</f>
        <v>0.65</v>
      </c>
      <c r="J91" s="69">
        <f t="shared" ref="J91:J99" si="22">J41/100*B91</f>
        <v>6.6000000000000003E-2</v>
      </c>
      <c r="K91" s="69">
        <f t="shared" ref="K91:K99" si="23">K41/100*B91</f>
        <v>0.126</v>
      </c>
      <c r="L91" s="69">
        <f t="shared" ref="L91:L99" si="24">L41/100*B91</f>
        <v>9.1999999999999998E-2</v>
      </c>
    </row>
    <row r="92" spans="1:12" x14ac:dyDescent="0.2">
      <c r="A92" s="111"/>
      <c r="B92" s="112"/>
      <c r="C92" s="61">
        <f t="shared" si="15"/>
        <v>0</v>
      </c>
      <c r="D92" s="61">
        <f t="shared" si="16"/>
        <v>0</v>
      </c>
      <c r="E92" s="61">
        <f t="shared" si="17"/>
        <v>0</v>
      </c>
      <c r="F92" s="61">
        <f t="shared" si="18"/>
        <v>0</v>
      </c>
      <c r="G92" s="61">
        <f t="shared" si="19"/>
        <v>0</v>
      </c>
      <c r="H92" s="61">
        <f t="shared" si="20"/>
        <v>0</v>
      </c>
      <c r="I92" s="62">
        <f t="shared" si="21"/>
        <v>0</v>
      </c>
      <c r="J92" s="69">
        <f t="shared" si="22"/>
        <v>0</v>
      </c>
      <c r="K92" s="69">
        <f t="shared" si="23"/>
        <v>0</v>
      </c>
      <c r="L92" s="69">
        <f t="shared" si="24"/>
        <v>0</v>
      </c>
    </row>
    <row r="93" spans="1:12" x14ac:dyDescent="0.2">
      <c r="A93" s="111"/>
      <c r="B93" s="112"/>
      <c r="C93" s="61">
        <f t="shared" si="15"/>
        <v>0</v>
      </c>
      <c r="D93" s="61">
        <f t="shared" si="16"/>
        <v>0</v>
      </c>
      <c r="E93" s="61">
        <f t="shared" si="17"/>
        <v>0</v>
      </c>
      <c r="F93" s="61">
        <f t="shared" si="18"/>
        <v>0</v>
      </c>
      <c r="G93" s="61">
        <f t="shared" si="19"/>
        <v>0</v>
      </c>
      <c r="H93" s="61">
        <f t="shared" si="20"/>
        <v>0</v>
      </c>
      <c r="I93" s="62">
        <f t="shared" si="21"/>
        <v>0</v>
      </c>
      <c r="J93" s="69">
        <f t="shared" si="22"/>
        <v>0</v>
      </c>
      <c r="K93" s="69">
        <f t="shared" si="23"/>
        <v>0</v>
      </c>
      <c r="L93" s="69">
        <f t="shared" si="24"/>
        <v>0</v>
      </c>
    </row>
    <row r="94" spans="1:12" x14ac:dyDescent="0.2">
      <c r="A94" s="111"/>
      <c r="B94" s="112"/>
      <c r="C94" s="61">
        <f t="shared" si="15"/>
        <v>0</v>
      </c>
      <c r="D94" s="61">
        <f t="shared" si="16"/>
        <v>0</v>
      </c>
      <c r="E94" s="61">
        <f t="shared" si="17"/>
        <v>0</v>
      </c>
      <c r="F94" s="61">
        <f t="shared" si="18"/>
        <v>0</v>
      </c>
      <c r="G94" s="61">
        <f t="shared" si="19"/>
        <v>0</v>
      </c>
      <c r="H94" s="61">
        <f t="shared" si="20"/>
        <v>0</v>
      </c>
      <c r="I94" s="62">
        <f t="shared" si="21"/>
        <v>0</v>
      </c>
      <c r="J94" s="69">
        <f t="shared" si="22"/>
        <v>0</v>
      </c>
      <c r="K94" s="69">
        <f t="shared" si="23"/>
        <v>0</v>
      </c>
      <c r="L94" s="69">
        <f t="shared" si="24"/>
        <v>0</v>
      </c>
    </row>
    <row r="95" spans="1:12" x14ac:dyDescent="0.2">
      <c r="A95" s="111"/>
      <c r="B95" s="112"/>
      <c r="C95" s="61">
        <f t="shared" si="15"/>
        <v>0</v>
      </c>
      <c r="D95" s="61">
        <f t="shared" si="16"/>
        <v>0</v>
      </c>
      <c r="E95" s="61">
        <f t="shared" si="17"/>
        <v>0</v>
      </c>
      <c r="F95" s="61">
        <f t="shared" si="18"/>
        <v>0</v>
      </c>
      <c r="G95" s="61">
        <f t="shared" si="19"/>
        <v>0</v>
      </c>
      <c r="H95" s="61">
        <f t="shared" si="20"/>
        <v>0</v>
      </c>
      <c r="I95" s="62">
        <f t="shared" si="21"/>
        <v>0</v>
      </c>
      <c r="J95" s="69">
        <f t="shared" si="22"/>
        <v>0</v>
      </c>
      <c r="K95" s="69">
        <f t="shared" si="23"/>
        <v>0</v>
      </c>
      <c r="L95" s="69">
        <f t="shared" si="24"/>
        <v>0</v>
      </c>
    </row>
    <row r="96" spans="1:12" x14ac:dyDescent="0.2">
      <c r="A96" s="111"/>
      <c r="B96" s="112"/>
      <c r="C96" s="61">
        <f t="shared" si="15"/>
        <v>0</v>
      </c>
      <c r="D96" s="61">
        <f t="shared" si="16"/>
        <v>0</v>
      </c>
      <c r="E96" s="61">
        <f t="shared" si="17"/>
        <v>0</v>
      </c>
      <c r="F96" s="61">
        <f t="shared" si="18"/>
        <v>0</v>
      </c>
      <c r="G96" s="61">
        <f t="shared" si="19"/>
        <v>0</v>
      </c>
      <c r="H96" s="61">
        <f t="shared" si="20"/>
        <v>0</v>
      </c>
      <c r="I96" s="62">
        <f t="shared" si="21"/>
        <v>0</v>
      </c>
      <c r="J96" s="69">
        <f t="shared" si="22"/>
        <v>0</v>
      </c>
      <c r="K96" s="69">
        <f t="shared" si="23"/>
        <v>0</v>
      </c>
      <c r="L96" s="69">
        <f t="shared" si="24"/>
        <v>0</v>
      </c>
    </row>
    <row r="97" spans="1:12" x14ac:dyDescent="0.2">
      <c r="A97" s="111"/>
      <c r="B97" s="112"/>
      <c r="C97" s="61">
        <f t="shared" si="15"/>
        <v>0</v>
      </c>
      <c r="D97" s="61">
        <f t="shared" si="16"/>
        <v>0</v>
      </c>
      <c r="E97" s="61">
        <f t="shared" si="17"/>
        <v>0</v>
      </c>
      <c r="F97" s="61">
        <f t="shared" si="18"/>
        <v>0</v>
      </c>
      <c r="G97" s="61">
        <f t="shared" si="19"/>
        <v>0</v>
      </c>
      <c r="H97" s="61">
        <f t="shared" si="20"/>
        <v>0</v>
      </c>
      <c r="I97" s="62">
        <f t="shared" si="21"/>
        <v>0</v>
      </c>
      <c r="J97" s="69">
        <f t="shared" si="22"/>
        <v>0</v>
      </c>
      <c r="K97" s="69">
        <f t="shared" si="23"/>
        <v>0</v>
      </c>
      <c r="L97" s="69">
        <f t="shared" si="24"/>
        <v>0</v>
      </c>
    </row>
    <row r="98" spans="1:12" x14ac:dyDescent="0.2">
      <c r="A98" s="111"/>
      <c r="B98" s="112"/>
      <c r="C98" s="61">
        <f t="shared" si="15"/>
        <v>0</v>
      </c>
      <c r="D98" s="61">
        <f t="shared" si="16"/>
        <v>0</v>
      </c>
      <c r="E98" s="61">
        <f t="shared" si="17"/>
        <v>0</v>
      </c>
      <c r="F98" s="61">
        <f t="shared" si="18"/>
        <v>0</v>
      </c>
      <c r="G98" s="61">
        <f t="shared" si="19"/>
        <v>0</v>
      </c>
      <c r="H98" s="61">
        <f t="shared" si="20"/>
        <v>0</v>
      </c>
      <c r="I98" s="62">
        <f t="shared" si="21"/>
        <v>0</v>
      </c>
      <c r="J98" s="69">
        <f t="shared" si="22"/>
        <v>0</v>
      </c>
      <c r="K98" s="69">
        <f t="shared" si="23"/>
        <v>0</v>
      </c>
      <c r="L98" s="69">
        <f t="shared" si="24"/>
        <v>0</v>
      </c>
    </row>
    <row r="99" spans="1:12" x14ac:dyDescent="0.2">
      <c r="A99" s="111"/>
      <c r="B99" s="112"/>
      <c r="C99" s="61">
        <f t="shared" si="15"/>
        <v>0</v>
      </c>
      <c r="D99" s="61">
        <f t="shared" si="16"/>
        <v>0</v>
      </c>
      <c r="E99" s="61">
        <f t="shared" si="17"/>
        <v>0</v>
      </c>
      <c r="F99" s="61">
        <f t="shared" si="18"/>
        <v>0</v>
      </c>
      <c r="G99" s="61">
        <f t="shared" si="19"/>
        <v>0</v>
      </c>
      <c r="H99" s="61">
        <f t="shared" si="20"/>
        <v>0</v>
      </c>
      <c r="I99" s="62">
        <f t="shared" si="21"/>
        <v>0</v>
      </c>
      <c r="J99" s="69">
        <f t="shared" si="22"/>
        <v>0</v>
      </c>
      <c r="K99" s="69">
        <f t="shared" si="23"/>
        <v>0</v>
      </c>
      <c r="L99" s="69">
        <f t="shared" si="24"/>
        <v>0</v>
      </c>
    </row>
    <row r="100" spans="1:12" x14ac:dyDescent="0.2">
      <c r="A100" s="10" t="s">
        <v>34</v>
      </c>
      <c r="B100" s="67">
        <f t="shared" ref="B100:L100" si="25">SUM(B90:B99)</f>
        <v>65.08</v>
      </c>
      <c r="C100" s="61">
        <f>SUM(C90:C99)</f>
        <v>17.88232</v>
      </c>
      <c r="D100" s="61">
        <f t="shared" si="25"/>
        <v>4.3303599999999998</v>
      </c>
      <c r="E100" s="61">
        <f t="shared" si="25"/>
        <v>10.695040000000001</v>
      </c>
      <c r="F100" s="61">
        <f t="shared" si="25"/>
        <v>28.959280000000003</v>
      </c>
      <c r="G100" s="61">
        <f t="shared" si="25"/>
        <v>2.2428000000000003</v>
      </c>
      <c r="H100" s="61">
        <f t="shared" si="25"/>
        <v>0.97019999999999995</v>
      </c>
      <c r="I100" s="62">
        <f t="shared" si="25"/>
        <v>205.89824000000002</v>
      </c>
      <c r="J100" s="62">
        <f t="shared" si="25"/>
        <v>0.14870115854626248</v>
      </c>
      <c r="K100" s="62">
        <f t="shared" si="25"/>
        <v>2.2466662434534195</v>
      </c>
      <c r="L100" s="62">
        <f t="shared" si="25"/>
        <v>108.17484399301699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65.08</v>
      </c>
      <c r="C102" s="61">
        <f>C100-B100*B101/100</f>
        <v>17.88232</v>
      </c>
      <c r="D102" s="61">
        <f t="shared" ref="D102:L102" si="26">SUM(D90:D99)</f>
        <v>4.3303599999999998</v>
      </c>
      <c r="E102" s="61">
        <f t="shared" si="26"/>
        <v>10.695040000000001</v>
      </c>
      <c r="F102" s="61">
        <f t="shared" si="26"/>
        <v>28.959280000000003</v>
      </c>
      <c r="G102" s="61">
        <f t="shared" si="26"/>
        <v>2.2428000000000003</v>
      </c>
      <c r="H102" s="61">
        <f t="shared" si="26"/>
        <v>0.97019999999999995</v>
      </c>
      <c r="I102" s="62">
        <f t="shared" si="26"/>
        <v>205.89824000000002</v>
      </c>
      <c r="J102" s="73">
        <f t="shared" si="26"/>
        <v>0.14870115854626248</v>
      </c>
      <c r="K102" s="73">
        <f t="shared" si="26"/>
        <v>2.2466662434534195</v>
      </c>
      <c r="L102" s="70">
        <f t="shared" si="26"/>
        <v>108.17484399301699</v>
      </c>
    </row>
    <row r="103" spans="1:12" ht="18" thickBot="1" x14ac:dyDescent="0.25">
      <c r="A103" s="74" t="s">
        <v>37</v>
      </c>
      <c r="B103" s="75">
        <f>SUM(C103:H103)</f>
        <v>100</v>
      </c>
      <c r="C103" s="75">
        <f>ROUND(+C102/B102*100,1)</f>
        <v>27.5</v>
      </c>
      <c r="D103" s="75">
        <f>ROUND(+D102/B102*100,1)</f>
        <v>6.7</v>
      </c>
      <c r="E103" s="75">
        <f>ROUND(+E102/B102*100,1)</f>
        <v>16.399999999999999</v>
      </c>
      <c r="F103" s="75">
        <f>ROUND(+F102/B102*100,1)</f>
        <v>44.5</v>
      </c>
      <c r="G103" s="75">
        <f>ROUND(+G102/B102*100,1)</f>
        <v>3.4</v>
      </c>
      <c r="H103" s="75">
        <f>ROUND(+H102/B102*100,1)</f>
        <v>1.5</v>
      </c>
      <c r="I103" s="105">
        <f>ROUND(+I102/B102*100,0)</f>
        <v>316</v>
      </c>
      <c r="J103" s="104">
        <f>ROUND(+J102/B102*100,2)</f>
        <v>0.23</v>
      </c>
      <c r="K103" s="104">
        <f>ROUND(+K102/B102*100,2)</f>
        <v>3.45</v>
      </c>
      <c r="L103" s="106">
        <f>ROUND(+L102/B102*100,0)</f>
        <v>166</v>
      </c>
    </row>
    <row r="104" spans="1:12" ht="18.75" thickTop="1" thickBot="1" x14ac:dyDescent="0.25">
      <c r="A104" s="76" t="s">
        <v>38</v>
      </c>
      <c r="B104" s="77">
        <f>SUM(C104:H104)</f>
        <v>100</v>
      </c>
      <c r="C104" s="274">
        <v>25.4</v>
      </c>
      <c r="D104" s="274">
        <v>7</v>
      </c>
      <c r="E104" s="274">
        <v>18</v>
      </c>
      <c r="F104" s="181">
        <v>45.49</v>
      </c>
      <c r="G104" s="275">
        <v>3.01</v>
      </c>
      <c r="H104" s="275">
        <v>1.1000000000000001</v>
      </c>
      <c r="I104" s="276">
        <v>280</v>
      </c>
      <c r="J104" s="263">
        <v>0.23</v>
      </c>
      <c r="K104" s="263">
        <v>3.45</v>
      </c>
      <c r="L104" s="262">
        <v>166</v>
      </c>
    </row>
    <row r="105" spans="1:12" ht="18.75" thickTop="1" thickBot="1" x14ac:dyDescent="0.25">
      <c r="A105" s="78"/>
      <c r="B105" s="79"/>
      <c r="C105" s="180" t="s">
        <v>107</v>
      </c>
      <c r="D105" s="80"/>
      <c r="E105" s="80"/>
      <c r="F105" s="81" t="s">
        <v>20</v>
      </c>
      <c r="G105" s="82"/>
      <c r="H105" s="80"/>
      <c r="I105" s="80"/>
      <c r="J105" s="80" t="s">
        <v>108</v>
      </c>
      <c r="K105" s="80"/>
      <c r="L105" s="9"/>
    </row>
    <row r="106" spans="1:12" ht="18.75" thickTop="1" thickBot="1" x14ac:dyDescent="0.25">
      <c r="A106" s="78"/>
      <c r="B106" s="79"/>
      <c r="C106" s="80"/>
      <c r="D106" s="80"/>
      <c r="E106" s="80"/>
      <c r="F106" s="83">
        <f>SUM(F104:G104)</f>
        <v>48.5</v>
      </c>
      <c r="G106" s="80"/>
      <c r="H106" s="264" t="s">
        <v>164</v>
      </c>
      <c r="I106" s="265">
        <v>115</v>
      </c>
      <c r="J106" s="80"/>
      <c r="K106" s="80"/>
      <c r="L106" s="9"/>
    </row>
    <row r="107" spans="1:12" ht="19.5" thickTop="1" thickBot="1" x14ac:dyDescent="0.25">
      <c r="A107" s="2"/>
      <c r="B107" s="2"/>
      <c r="C107" s="2"/>
      <c r="D107" s="2"/>
      <c r="E107" s="84"/>
      <c r="F107" s="85"/>
      <c r="G107" s="2"/>
      <c r="H107" s="266" t="s">
        <v>165</v>
      </c>
      <c r="I107" s="267">
        <v>103</v>
      </c>
      <c r="J107" s="2"/>
      <c r="K107" s="2"/>
      <c r="L107" s="3"/>
    </row>
    <row r="108" spans="1:12" ht="18.75" thickBot="1" x14ac:dyDescent="0.25">
      <c r="A108" s="86" t="s">
        <v>40</v>
      </c>
      <c r="B108" s="87"/>
      <c r="C108" s="88">
        <f>ROUND(+D104*4+E104*9+F104*4+G104*2,0)</f>
        <v>378</v>
      </c>
      <c r="D108" s="86" t="s">
        <v>41</v>
      </c>
      <c r="E108" s="89"/>
      <c r="F108" s="84"/>
      <c r="G108" s="2"/>
      <c r="H108" s="268" t="s">
        <v>166</v>
      </c>
      <c r="I108" s="269">
        <v>10.5</v>
      </c>
      <c r="J108" s="2"/>
      <c r="K108" s="2"/>
      <c r="L108" s="3"/>
    </row>
    <row r="109" spans="1:12" ht="18" thickTop="1" x14ac:dyDescent="0.2">
      <c r="A109" s="2"/>
      <c r="B109" s="90"/>
      <c r="C109" s="90"/>
      <c r="D109" s="90"/>
      <c r="G109" s="90"/>
      <c r="H109" s="90"/>
      <c r="I109" s="90"/>
      <c r="J109" s="90"/>
      <c r="K109" s="90"/>
      <c r="L109" s="3"/>
    </row>
    <row r="110" spans="1:12" x14ac:dyDescent="0.2">
      <c r="A110" s="2"/>
      <c r="B110" s="90"/>
      <c r="C110" s="90"/>
      <c r="D110" s="90"/>
      <c r="E110" s="90"/>
      <c r="F110" s="90"/>
      <c r="G110" s="90"/>
      <c r="H110" s="90"/>
      <c r="I110" s="90"/>
      <c r="J110" s="90"/>
      <c r="K110" s="90"/>
      <c r="L110" s="3"/>
    </row>
    <row r="111" spans="1:12" x14ac:dyDescent="0.2">
      <c r="A111" s="2"/>
      <c r="B111" s="90"/>
      <c r="C111" s="114" t="s">
        <v>47</v>
      </c>
      <c r="D111" s="90"/>
      <c r="E111" s="90"/>
      <c r="F111" s="90"/>
      <c r="G111" s="90"/>
      <c r="H111" s="90"/>
      <c r="I111" s="90"/>
      <c r="J111" s="90"/>
      <c r="K111" s="90"/>
      <c r="L111" s="3"/>
    </row>
    <row r="112" spans="1:12" x14ac:dyDescent="0.2">
      <c r="A112" s="2"/>
      <c r="B112" s="90"/>
      <c r="C112" s="115" t="s">
        <v>48</v>
      </c>
      <c r="D112" s="115" t="s">
        <v>17</v>
      </c>
      <c r="E112" s="115" t="s">
        <v>18</v>
      </c>
      <c r="F112" s="115" t="s">
        <v>20</v>
      </c>
      <c r="G112" s="115" t="s">
        <v>21</v>
      </c>
      <c r="H112" s="115" t="s">
        <v>12</v>
      </c>
      <c r="I112" s="115" t="s">
        <v>49</v>
      </c>
      <c r="J112" s="115" t="s">
        <v>50</v>
      </c>
      <c r="K112" s="90"/>
      <c r="L112" s="3"/>
    </row>
    <row r="113" spans="1:12" x14ac:dyDescent="0.2">
      <c r="A113" s="2"/>
      <c r="B113" s="90"/>
      <c r="C113" s="116">
        <f>AG14</f>
        <v>246</v>
      </c>
      <c r="D113" s="117">
        <f>AG15</f>
        <v>4.5999999999999996</v>
      </c>
      <c r="E113" s="117">
        <f>AG16</f>
        <v>11.7</v>
      </c>
      <c r="F113" s="118">
        <f>AG17</f>
        <v>31.6</v>
      </c>
      <c r="G113" s="119">
        <f>AG20</f>
        <v>0.46</v>
      </c>
      <c r="H113" s="120">
        <f>AG25</f>
        <v>2.2400000000000002</v>
      </c>
      <c r="I113" s="119">
        <f>IF(AG13&gt;=100,AG26,IF(AE26&lt;0.3,0,AG26))</f>
        <v>0</v>
      </c>
      <c r="J113" s="121">
        <f>IF(AE27&lt;5,0,AG27)</f>
        <v>108</v>
      </c>
      <c r="K113" s="90"/>
      <c r="L113" s="3"/>
    </row>
    <row r="114" spans="1:12" x14ac:dyDescent="0.2">
      <c r="A114" s="2"/>
      <c r="B114" s="90"/>
      <c r="C114" s="122" t="s">
        <v>51</v>
      </c>
      <c r="D114" s="123" t="s">
        <v>52</v>
      </c>
      <c r="E114" s="123" t="s">
        <v>52</v>
      </c>
      <c r="F114" s="124" t="s">
        <v>52</v>
      </c>
      <c r="G114" s="123" t="s">
        <v>52</v>
      </c>
      <c r="H114" s="124" t="s">
        <v>52</v>
      </c>
      <c r="I114" s="123" t="s">
        <v>52</v>
      </c>
      <c r="J114" s="125" t="s">
        <v>53</v>
      </c>
      <c r="K114" s="90"/>
      <c r="L114" s="3"/>
    </row>
    <row r="115" spans="1:12" x14ac:dyDescent="0.2">
      <c r="A115" s="2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3"/>
    </row>
    <row r="117" spans="1:12" x14ac:dyDescent="0.2">
      <c r="A117" s="102" t="s">
        <v>56</v>
      </c>
    </row>
    <row r="118" spans="1:12" x14ac:dyDescent="0.2">
      <c r="A118" s="102" t="s">
        <v>57</v>
      </c>
    </row>
    <row r="119" spans="1:12" x14ac:dyDescent="0.2">
      <c r="A119" s="126" t="s">
        <v>58</v>
      </c>
    </row>
    <row r="120" spans="1:12" x14ac:dyDescent="0.2">
      <c r="A120" s="102" t="s">
        <v>59</v>
      </c>
    </row>
    <row r="122" spans="1:12" x14ac:dyDescent="0.2">
      <c r="A122" s="4" t="s">
        <v>72</v>
      </c>
    </row>
    <row r="123" spans="1:12" x14ac:dyDescent="0.2">
      <c r="A123" s="4" t="s">
        <v>73</v>
      </c>
    </row>
    <row r="124" spans="1:12" x14ac:dyDescent="0.2">
      <c r="A124" s="4" t="s">
        <v>74</v>
      </c>
    </row>
  </sheetData>
  <mergeCells count="6">
    <mergeCell ref="AK12:AK13"/>
    <mergeCell ref="AA31:AJ31"/>
    <mergeCell ref="A5:E5"/>
    <mergeCell ref="A6:E6"/>
    <mergeCell ref="AE12:AE13"/>
    <mergeCell ref="AG12:AI12"/>
  </mergeCells>
  <phoneticPr fontId="3"/>
  <conditionalFormatting sqref="AA1:AJ1048576">
    <cfRule type="expression" dxfId="6" priority="1" stopIfTrue="1">
      <formula>$A$2="出力なし"</formula>
    </cfRule>
  </conditionalFormatting>
  <conditionalFormatting sqref="AA31:AJ31">
    <cfRule type="expression" dxfId="5" priority="6" stopIfTrue="1">
      <formula>NOT(AA31="この表示値は、目安です。")</formula>
    </cfRule>
  </conditionalFormatting>
  <conditionalFormatting sqref="AG12:AI12">
    <cfRule type="expression" dxfId="4" priority="5" stopIfTrue="1">
      <formula>NOT(AG12="1個当たり")</formula>
    </cfRule>
  </conditionalFormatting>
  <conditionalFormatting sqref="AG27">
    <cfRule type="expression" dxfId="3" priority="4" stopIfTrue="1">
      <formula>$AE$27&lt;5</formula>
    </cfRule>
  </conditionalFormatting>
  <conditionalFormatting sqref="AG26">
    <cfRule type="expression" dxfId="2" priority="3" stopIfTrue="1">
      <formula>AND($AG$13&lt;100,$AE$26&lt;0.3)</formula>
    </cfRule>
  </conditionalFormatting>
  <conditionalFormatting sqref="AE23">
    <cfRule type="expression" dxfId="1" priority="2" stopIfTrue="1">
      <formula>IF($A$4="蒸し物",IF($AE$23&lt;30,TRUE,FALSE),FALSE)</formula>
    </cfRule>
  </conditionalFormatting>
  <conditionalFormatting sqref="AG13:AH13">
    <cfRule type="expression" dxfId="0" priority="7">
      <formula>COUNTIF($A$6,"*7P*")+COUNTIF($A$6,"*ｾﾌﾞﾝﾌﾟﾚﾐｱﾑ*")</formula>
    </cfRule>
  </conditionalFormatting>
  <dataValidations count="2">
    <dataValidation type="list" allowBlank="1" showInputMessage="1" showErrorMessage="1" sqref="A4">
      <formula1>$A$123:$A$124</formula1>
    </dataValidation>
    <dataValidation type="list" allowBlank="1" showInputMessage="1" showErrorMessage="1" sqref="A2">
      <formula1>$A$118:$A$120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糖類＋食物繊維+その他成分</vt:lpstr>
      <vt:lpstr>（例）ふわりｼﾌｫﾝいちご</vt:lpstr>
      <vt:lpstr>'（例）ふわりｼﾌｫﾝいちご'!Print_Area</vt:lpstr>
      <vt:lpstr>'糖類＋食物繊維+その他成分'!Print_Area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id</dc:creator>
  <cp:lastModifiedBy>共有　システム開発　</cp:lastModifiedBy>
  <cp:lastPrinted>2022-07-11T06:45:00Z</cp:lastPrinted>
  <dcterms:created xsi:type="dcterms:W3CDTF">1999-12-02T04:43:04Z</dcterms:created>
  <dcterms:modified xsi:type="dcterms:W3CDTF">2026-05-14T07:51:10Z</dcterms:modified>
</cp:coreProperties>
</file>